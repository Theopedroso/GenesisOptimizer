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silva\Documents\Nutrition Department\BEEP\Genesis\"/>
    </mc:Choice>
  </mc:AlternateContent>
  <xr:revisionPtr revIDLastSave="0" documentId="8_{D99DEDD4-40D3-4F78-B965-A503087B0CDF}" xr6:coauthVersionLast="47" xr6:coauthVersionMax="47" xr10:uidLastSave="{00000000-0000-0000-0000-000000000000}"/>
  <bookViews>
    <workbookView xWindow="-108" yWindow="-108" windowWidth="23256" windowHeight="12456" activeTab="2" xr2:uid="{A5A6CB48-6470-4789-A958-C9DAF8935A18}"/>
  </bookViews>
  <sheets>
    <sheet name="Nutritional Matrix" sheetId="3" r:id="rId1"/>
    <sheet name="Formulas" sheetId="2" r:id="rId2"/>
    <sheet name="Nutrient Spec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5" i="1" l="1"/>
  <c r="K45" i="1"/>
  <c r="J45" i="1"/>
  <c r="I45" i="1"/>
  <c r="L44" i="1"/>
  <c r="K44" i="1"/>
  <c r="J44" i="1"/>
  <c r="I44" i="1"/>
  <c r="L43" i="1"/>
  <c r="K43" i="1"/>
  <c r="J43" i="1"/>
  <c r="I43" i="1"/>
  <c r="L42" i="1"/>
  <c r="K42" i="1"/>
  <c r="J42" i="1"/>
  <c r="I42" i="1"/>
  <c r="L41" i="1"/>
  <c r="K41" i="1"/>
  <c r="J41" i="1"/>
  <c r="I41" i="1"/>
  <c r="L40" i="1"/>
  <c r="K40" i="1"/>
  <c r="J40" i="1"/>
  <c r="I40" i="1"/>
  <c r="L39" i="1"/>
  <c r="K39" i="1"/>
  <c r="J39" i="1"/>
  <c r="I39" i="1"/>
  <c r="L38" i="1"/>
  <c r="K38" i="1"/>
  <c r="J38" i="1"/>
  <c r="I38" i="1"/>
  <c r="L37" i="1"/>
  <c r="K37" i="1"/>
  <c r="J37" i="1"/>
  <c r="I37" i="1"/>
  <c r="L36" i="1"/>
  <c r="K36" i="1"/>
  <c r="J36" i="1"/>
  <c r="I36" i="1"/>
  <c r="L35" i="1"/>
  <c r="K35" i="1"/>
  <c r="J35" i="1"/>
  <c r="I35" i="1"/>
  <c r="L34" i="1"/>
  <c r="K34" i="1"/>
  <c r="J34" i="1"/>
  <c r="I34" i="1"/>
  <c r="L33" i="1"/>
  <c r="K33" i="1"/>
  <c r="J33" i="1"/>
  <c r="I33" i="1"/>
  <c r="L32" i="1"/>
  <c r="K32" i="1"/>
  <c r="J32" i="1"/>
  <c r="I32" i="1"/>
  <c r="L31" i="1"/>
  <c r="K31" i="1"/>
  <c r="J31" i="1"/>
  <c r="I31" i="1"/>
  <c r="L30" i="1"/>
  <c r="K30" i="1"/>
  <c r="J30" i="1"/>
  <c r="I30" i="1"/>
  <c r="L29" i="1"/>
  <c r="K29" i="1"/>
  <c r="J29" i="1"/>
  <c r="I29" i="1"/>
  <c r="L28" i="1"/>
  <c r="K28" i="1"/>
  <c r="J28" i="1"/>
  <c r="I28" i="1"/>
  <c r="L27" i="1"/>
  <c r="K27" i="1"/>
  <c r="J27" i="1"/>
  <c r="I27" i="1"/>
  <c r="L26" i="1"/>
  <c r="K26" i="1"/>
  <c r="J26" i="1"/>
  <c r="I26" i="1"/>
</calcChain>
</file>

<file path=xl/sharedStrings.xml><?xml version="1.0" encoding="utf-8"?>
<sst xmlns="http://schemas.openxmlformats.org/spreadsheetml/2006/main" count="837" uniqueCount="602">
  <si>
    <t>1BR008</t>
  </si>
  <si>
    <t>1BR009</t>
  </si>
  <si>
    <t>1BR2009</t>
  </si>
  <si>
    <t>1BR3009</t>
  </si>
  <si>
    <t>1BR4009</t>
  </si>
  <si>
    <t>Units</t>
  </si>
  <si>
    <t xml:space="preserve">    Starter      0-12 days</t>
  </si>
  <si>
    <t xml:space="preserve">     Grower      12-24 days</t>
  </si>
  <si>
    <t>Finisher 1   24-36 days</t>
  </si>
  <si>
    <t xml:space="preserve">    Finisher 2      36-45 days</t>
  </si>
  <si>
    <t>IngrCode</t>
  </si>
  <si>
    <t>Ingredient Name</t>
  </si>
  <si>
    <t>%</t>
  </si>
  <si>
    <t>Yellow Corn - STD</t>
  </si>
  <si>
    <t>Soybean Meal - 45%</t>
  </si>
  <si>
    <t>Soy Concentrate 68%</t>
  </si>
  <si>
    <t>Corn Gluten 60% CP</t>
  </si>
  <si>
    <t>Oats, Hulls</t>
  </si>
  <si>
    <t>Vegetable Oil, Soy</t>
  </si>
  <si>
    <t>Dicalcium Phosphate</t>
  </si>
  <si>
    <t>Limestone 37%</t>
  </si>
  <si>
    <t>White Kaolin</t>
  </si>
  <si>
    <t>Sodium Chloride 39%</t>
  </si>
  <si>
    <t>Sodium bicarb 27%</t>
  </si>
  <si>
    <t>Generic Premixes</t>
  </si>
  <si>
    <t>L-Lysine.HCl 99</t>
  </si>
  <si>
    <t>DL-Methionine</t>
  </si>
  <si>
    <t>L-Threonine</t>
  </si>
  <si>
    <t>L-Valine</t>
  </si>
  <si>
    <t>L- Arginine</t>
  </si>
  <si>
    <t>L- Isoleucine</t>
  </si>
  <si>
    <t>SalinaCox 24%</t>
  </si>
  <si>
    <t>Senduramycin +Nicarb - Aviax Plus</t>
  </si>
  <si>
    <t>Phytase - OptiPhos Plus 20000 UFT</t>
  </si>
  <si>
    <t>Etoxiquin</t>
  </si>
  <si>
    <t>NutNum</t>
  </si>
  <si>
    <t>Nutrient Name</t>
  </si>
  <si>
    <t>Moisture</t>
  </si>
  <si>
    <t>Dry Matter</t>
  </si>
  <si>
    <t>Crude Protein</t>
  </si>
  <si>
    <t>Crude Fat  - Oil (A)</t>
  </si>
  <si>
    <t>HA Fat - Oil (B)</t>
  </si>
  <si>
    <t>Crude Fiber</t>
  </si>
  <si>
    <t>NDF</t>
  </si>
  <si>
    <t>ADF</t>
  </si>
  <si>
    <t>Ash</t>
  </si>
  <si>
    <t>WPSA - AMEn kg</t>
  </si>
  <si>
    <t>kcal/kg</t>
  </si>
  <si>
    <t>Dig Lysine</t>
  </si>
  <si>
    <t>Total Calcium</t>
  </si>
  <si>
    <t>Actual Calcium</t>
  </si>
  <si>
    <t>Total Phophorus</t>
  </si>
  <si>
    <t>Non Phytate Phospho</t>
  </si>
  <si>
    <t>Phytate Phos</t>
  </si>
  <si>
    <t>HCO3</t>
  </si>
  <si>
    <t>Sodium</t>
  </si>
  <si>
    <t>Chloride</t>
  </si>
  <si>
    <t>¨%</t>
  </si>
  <si>
    <t>Potassium</t>
  </si>
  <si>
    <t>Na+K-Cl</t>
  </si>
  <si>
    <t>mEq/kg</t>
  </si>
  <si>
    <t>Choline  - Diet</t>
  </si>
  <si>
    <t>mg/kg</t>
  </si>
  <si>
    <t>Na+K+Ca+Mg-Cl-nfP-S</t>
  </si>
  <si>
    <t>Dig Methionine</t>
  </si>
  <si>
    <t>Dig  Cyst(e)ine</t>
  </si>
  <si>
    <t>Dig Met+Cys</t>
  </si>
  <si>
    <t>Dig Threonine</t>
  </si>
  <si>
    <t>Dig Tryptophan</t>
  </si>
  <si>
    <t>Dig Isoleucine</t>
  </si>
  <si>
    <t>Dig Leucine</t>
  </si>
  <si>
    <t>Dig Valine</t>
  </si>
  <si>
    <t>Dig Histidine</t>
  </si>
  <si>
    <t>Dig Arginine</t>
  </si>
  <si>
    <t>Dig Phenilalanine</t>
  </si>
  <si>
    <t>Dig Tyrosine</t>
  </si>
  <si>
    <t>Dig Serine</t>
  </si>
  <si>
    <t>Dig Glycine</t>
  </si>
  <si>
    <t>Dig Glutamic Acid</t>
  </si>
  <si>
    <t>Dig Proline</t>
  </si>
  <si>
    <t>Dig Aspartic Acid</t>
  </si>
  <si>
    <t>Dig Phe+Tyr</t>
  </si>
  <si>
    <t>Dig Gly+Ser</t>
  </si>
  <si>
    <t>Dig Alanine</t>
  </si>
  <si>
    <t>Total Lysine</t>
  </si>
  <si>
    <t>Total Methionine</t>
  </si>
  <si>
    <t>Total Cyst(e)ine</t>
  </si>
  <si>
    <t>Total Met+Cys</t>
  </si>
  <si>
    <t>Total Threonine</t>
  </si>
  <si>
    <t>Total Tryptophan</t>
  </si>
  <si>
    <t>Total Isoleucine</t>
  </si>
  <si>
    <t>Total Leucine</t>
  </si>
  <si>
    <t>Total Valine</t>
  </si>
  <si>
    <t>Total Histidine</t>
  </si>
  <si>
    <t>Total Arginine</t>
  </si>
  <si>
    <t>Total Phenilalanine</t>
  </si>
  <si>
    <t>Total Tyrosine</t>
  </si>
  <si>
    <t>Total Serine</t>
  </si>
  <si>
    <t>Total Glycine</t>
  </si>
  <si>
    <t>Total Glutamic Acid</t>
  </si>
  <si>
    <t>Total Proline</t>
  </si>
  <si>
    <t>Total Aspartic</t>
  </si>
  <si>
    <t>Total PHE+TYR</t>
  </si>
  <si>
    <t>Total Gly+Ser</t>
  </si>
  <si>
    <t>Total Alanine</t>
  </si>
  <si>
    <t>Choline - Ing</t>
  </si>
  <si>
    <t>Choline - Added</t>
  </si>
  <si>
    <t>Nutrient # 1</t>
  </si>
  <si>
    <t>Nutrient # 5</t>
  </si>
  <si>
    <t>Nutrient # 10</t>
  </si>
  <si>
    <t>Computed # 11</t>
  </si>
  <si>
    <t>Nutrient # 15</t>
  </si>
  <si>
    <t>Computed # 16</t>
  </si>
  <si>
    <t>Computed # 17</t>
  </si>
  <si>
    <t>Nutrient # 20</t>
  </si>
  <si>
    <t>Computed # 22</t>
  </si>
  <si>
    <t>Nutrient # 23</t>
  </si>
  <si>
    <t>Nutrient # 26</t>
  </si>
  <si>
    <t>Nutrient # 29</t>
  </si>
  <si>
    <t>Computed # 32</t>
  </si>
  <si>
    <t>Nutrient # 34</t>
  </si>
  <si>
    <t>Nutrient # 35</t>
  </si>
  <si>
    <t>Computed # 36</t>
  </si>
  <si>
    <t>Computed # 51</t>
  </si>
  <si>
    <t>Computed # 60</t>
  </si>
  <si>
    <t>Computed # 65</t>
  </si>
  <si>
    <t>Computed # 69</t>
  </si>
  <si>
    <t>Computed # 73</t>
  </si>
  <si>
    <t>Computed # 76</t>
  </si>
  <si>
    <t>Computed # 77</t>
  </si>
  <si>
    <t>Computed # 80</t>
  </si>
  <si>
    <t>Computed # 81</t>
  </si>
  <si>
    <t>Computed # 82</t>
  </si>
  <si>
    <t>Computed # 83</t>
  </si>
  <si>
    <t>Computed # 84</t>
  </si>
  <si>
    <t>Computed # 85</t>
  </si>
  <si>
    <t>Nutrient # 87</t>
  </si>
  <si>
    <t>Nutrient # 88</t>
  </si>
  <si>
    <t>Nutrient # 89</t>
  </si>
  <si>
    <t>Nutrient # 90</t>
  </si>
  <si>
    <t>Nutrient # 93</t>
  </si>
  <si>
    <t>Nutrient # 96</t>
  </si>
  <si>
    <t>Computed # 98</t>
  </si>
  <si>
    <t>Computed # 99</t>
  </si>
  <si>
    <t>Computed # 100</t>
  </si>
  <si>
    <t>Computed # 104</t>
  </si>
  <si>
    <t>Computed # 105</t>
  </si>
  <si>
    <t>Computed # 109</t>
  </si>
  <si>
    <t>Computed # 110</t>
  </si>
  <si>
    <t>Computed # 114</t>
  </si>
  <si>
    <t>Computed # 115</t>
  </si>
  <si>
    <t>Computed # 119</t>
  </si>
  <si>
    <t>Computed # 120</t>
  </si>
  <si>
    <t>Computed # 124</t>
  </si>
  <si>
    <t>Computed # 125</t>
  </si>
  <si>
    <t>Computed # 129</t>
  </si>
  <si>
    <t>Computed # 130</t>
  </si>
  <si>
    <t>Computed # 134</t>
  </si>
  <si>
    <t>Computed # 135</t>
  </si>
  <si>
    <t>Computed # 139</t>
  </si>
  <si>
    <t>Computed # 140</t>
  </si>
  <si>
    <t>Computed # 144</t>
  </si>
  <si>
    <t>Computed # 145</t>
  </si>
  <si>
    <t>Computed # 149</t>
  </si>
  <si>
    <t>Computed # 150</t>
  </si>
  <si>
    <t>Computed # 154</t>
  </si>
  <si>
    <t>Computed # 155</t>
  </si>
  <si>
    <t>Computed # 159</t>
  </si>
  <si>
    <t>Computed # 160</t>
  </si>
  <si>
    <t>Computed # 164</t>
  </si>
  <si>
    <t>Computed # 165</t>
  </si>
  <si>
    <t>Computed # 169</t>
  </si>
  <si>
    <t>Computed # 170</t>
  </si>
  <si>
    <t>Computed # 174</t>
  </si>
  <si>
    <t>Computed # 175</t>
  </si>
  <si>
    <t>Computed # 179</t>
  </si>
  <si>
    <t>Computed # 180</t>
  </si>
  <si>
    <t>Computed # 184</t>
  </si>
  <si>
    <t>Computed # 185</t>
  </si>
  <si>
    <t>Computed # 189</t>
  </si>
  <si>
    <t>Computed # 190</t>
  </si>
  <si>
    <t>Computed # 194</t>
  </si>
  <si>
    <t>Computed # 195</t>
  </si>
  <si>
    <t>Computed # 199</t>
  </si>
  <si>
    <t>Computed # 200</t>
  </si>
  <si>
    <t>Computed # 204</t>
  </si>
  <si>
    <t>Computed # 435</t>
  </si>
  <si>
    <t>Computed # 649</t>
  </si>
  <si>
    <t>Nutrient # 650</t>
  </si>
  <si>
    <t>Nutrient # 651</t>
  </si>
  <si>
    <t>Digestible Prot</t>
  </si>
  <si>
    <t>Crude Fat  - Oi</t>
  </si>
  <si>
    <t>HA Fat - Oil (B</t>
  </si>
  <si>
    <t>Digestible Fat</t>
  </si>
  <si>
    <t>WHC</t>
  </si>
  <si>
    <t>NFE (nitrogen f</t>
  </si>
  <si>
    <t>Sugars</t>
  </si>
  <si>
    <t>Starches</t>
  </si>
  <si>
    <t>Sugar+Starches</t>
  </si>
  <si>
    <t>WPSA - AMEn lb</t>
  </si>
  <si>
    <t>ST AMEn kg</t>
  </si>
  <si>
    <t>GW AMEn kg</t>
  </si>
  <si>
    <t>FN AMEn kg</t>
  </si>
  <si>
    <t>WD AMEn kg</t>
  </si>
  <si>
    <t>Actual Phosphor</t>
  </si>
  <si>
    <t>Av Phosphorus</t>
  </si>
  <si>
    <t>Non Phytate Ph</t>
  </si>
  <si>
    <t>Retainable Phos</t>
  </si>
  <si>
    <t>CPTMP</t>
  </si>
  <si>
    <t>Salt</t>
  </si>
  <si>
    <t>Na+K+Ca+Mg-Cl-</t>
  </si>
  <si>
    <t>Total Methioni</t>
  </si>
  <si>
    <t>Total Cyst(e)i</t>
  </si>
  <si>
    <t>Total Threoni</t>
  </si>
  <si>
    <t>Total Tryptoph</t>
  </si>
  <si>
    <t>Total Isoleuci</t>
  </si>
  <si>
    <t>Total Histidin</t>
  </si>
  <si>
    <t>Total Arginin</t>
  </si>
  <si>
    <t>Total Phenilal</t>
  </si>
  <si>
    <t>Dig Phenilalani</t>
  </si>
  <si>
    <t>Total Glycin</t>
  </si>
  <si>
    <t>Total Glutamic</t>
  </si>
  <si>
    <t>Dig Glutamic Ac</t>
  </si>
  <si>
    <t>Total Prol</t>
  </si>
  <si>
    <t>Total Aspa</t>
  </si>
  <si>
    <t>Dig Aspartic Ac</t>
  </si>
  <si>
    <t>Linoleic acid (</t>
  </si>
  <si>
    <t>(%)</t>
  </si>
  <si>
    <t>()</t>
  </si>
  <si>
    <t>(kcal/kg)</t>
  </si>
  <si>
    <t>(kcal)</t>
  </si>
  <si>
    <t>(mEq/kg)</t>
  </si>
  <si>
    <t>(¨%)</t>
  </si>
  <si>
    <t>(mg/kg)</t>
  </si>
  <si>
    <t>Wheat - Hard Red Spring</t>
  </si>
  <si>
    <t>Wheat - Soft Red Winter</t>
  </si>
  <si>
    <t>Sorghum</t>
  </si>
  <si>
    <t>Rye</t>
  </si>
  <si>
    <t>Barley</t>
  </si>
  <si>
    <t>Triticale</t>
  </si>
  <si>
    <t>Millet</t>
  </si>
  <si>
    <t>Broken Rice</t>
  </si>
  <si>
    <t>Oats, Dehulled</t>
  </si>
  <si>
    <t>Oats,  Whole Grain</t>
  </si>
  <si>
    <t>Corn - Extruded</t>
  </si>
  <si>
    <t>Corn Starch</t>
  </si>
  <si>
    <t>Broken Rice - Extruded</t>
  </si>
  <si>
    <t>Fullfat Soya- Extruded</t>
  </si>
  <si>
    <t>Full fat Soya -  Desactivated</t>
  </si>
  <si>
    <t>Full Fat Soya - Toasted</t>
  </si>
  <si>
    <t>Rapeseed</t>
  </si>
  <si>
    <t>Sunflower</t>
  </si>
  <si>
    <t>Sesame</t>
  </si>
  <si>
    <t>Linseed - Flaxseed</t>
  </si>
  <si>
    <t>Peas</t>
  </si>
  <si>
    <t>Lupine</t>
  </si>
  <si>
    <t>Beans, Field</t>
  </si>
  <si>
    <t>Soybean Extruded - Expeller</t>
  </si>
  <si>
    <t>Soybean Deactivated - Expeller</t>
  </si>
  <si>
    <t>Soybean Toasted  Expeller</t>
  </si>
  <si>
    <t>Soybean Meal - 44% STD</t>
  </si>
  <si>
    <t>Soybean Meal - 45% STD</t>
  </si>
  <si>
    <t>Soybean Meal  - 46%</t>
  </si>
  <si>
    <t>Soybean Meal - 47%</t>
  </si>
  <si>
    <t>Soybean Meal - 48%</t>
  </si>
  <si>
    <t>Soybean Meal  - 49%</t>
  </si>
  <si>
    <t>Texturized Soy 52%</t>
  </si>
  <si>
    <t>Soy Concentrate 60%</t>
  </si>
  <si>
    <t>Soy Concentrate 65%</t>
  </si>
  <si>
    <t>Soy Isolated Protein 90%</t>
  </si>
  <si>
    <t>Pea Protein</t>
  </si>
  <si>
    <t>Potato Protein</t>
  </si>
  <si>
    <t>Casein -</t>
  </si>
  <si>
    <t>Wheat Gluten 78% CP</t>
  </si>
  <si>
    <t>Plasma, Bovine 74%</t>
  </si>
  <si>
    <t>Plasma, Swine 78%</t>
  </si>
  <si>
    <t>Canola Meal</t>
  </si>
  <si>
    <t>Peanut Meal</t>
  </si>
  <si>
    <t>Alfafa Meal</t>
  </si>
  <si>
    <t>Alfafa Pellet</t>
  </si>
  <si>
    <t>Cottonseed Meal</t>
  </si>
  <si>
    <t>Safflower Meal</t>
  </si>
  <si>
    <t>Sunflower Meal 36% CP</t>
  </si>
  <si>
    <t>Sunflower Meal 40% CP</t>
  </si>
  <si>
    <t>DDGS Corn - HD</t>
  </si>
  <si>
    <t>DDGS Corn- LD</t>
  </si>
  <si>
    <t>DDGS Wheat- HD</t>
  </si>
  <si>
    <t>DDGS Wheat - LD</t>
  </si>
  <si>
    <t>Potato Meal 38% CP</t>
  </si>
  <si>
    <t>Wheat Middlings</t>
  </si>
  <si>
    <t>Wheat Flour</t>
  </si>
  <si>
    <t>Wheat Bran &gt; 9% CF</t>
  </si>
  <si>
    <t>Wheat Bran &lt; 9% CF</t>
  </si>
  <si>
    <t>Bakery meal</t>
  </si>
  <si>
    <t>Rice Bran - Full Fat</t>
  </si>
  <si>
    <t>Rice Bran, Deoiled</t>
  </si>
  <si>
    <t>Rice Bran Parbolized</t>
  </si>
  <si>
    <t>Corn Germ Meal</t>
  </si>
  <si>
    <t>Corn Germ Meal - CT</t>
  </si>
  <si>
    <t>Hi Fat Corn Germ Meal</t>
  </si>
  <si>
    <t>Corn Gluten Feed</t>
  </si>
  <si>
    <t>Wheat Gluten Feed</t>
  </si>
  <si>
    <t>Tapioca Meal</t>
  </si>
  <si>
    <t>Palm Kernel Meal - Solvent</t>
  </si>
  <si>
    <t>Palm Kernel Meal - Expeller</t>
  </si>
  <si>
    <t>Coconut Meal - Copra</t>
  </si>
  <si>
    <t>Yeast, Sugar Cane, Whole</t>
  </si>
  <si>
    <t xml:space="preserve"> Yeast, Sugar Cane Disrupted</t>
  </si>
  <si>
    <t>Nupro - Yeast Extract</t>
  </si>
  <si>
    <t>Brewers Grains, dried</t>
  </si>
  <si>
    <t>Yeast, Brewer's Dried</t>
  </si>
  <si>
    <t>CJ Prosin - C. glutamicum bio-mass</t>
  </si>
  <si>
    <t>Citrus Pulp</t>
  </si>
  <si>
    <t>Soybean, Hulls</t>
  </si>
  <si>
    <t>Rice, Hulls</t>
  </si>
  <si>
    <t>Wheat Straw Pellet</t>
  </si>
  <si>
    <t>Cellulose Arbocel powder</t>
  </si>
  <si>
    <t>Cellulose Arbocel FINE granulate</t>
  </si>
  <si>
    <t>Sawdust</t>
  </si>
  <si>
    <t>Sugar Beet Pulp</t>
  </si>
  <si>
    <t>Fish Meal Standard</t>
  </si>
  <si>
    <t>Fish Meal Premium</t>
  </si>
  <si>
    <t>Offal Meal - Poultry LD</t>
  </si>
  <si>
    <t>Offal Meal - Poultry ND</t>
  </si>
  <si>
    <t>Offal Meal - Poultry HD</t>
  </si>
  <si>
    <t>Meat and Bone Meal,  Beef</t>
  </si>
  <si>
    <t>Meat and Bone Meal, Pig</t>
  </si>
  <si>
    <t>Feather Meal</t>
  </si>
  <si>
    <t>Feather Blood Meal</t>
  </si>
  <si>
    <t>Feather Offal Meal</t>
  </si>
  <si>
    <t>Blood Meal, Bovine</t>
  </si>
  <si>
    <t>Blood Meal, Poultry</t>
  </si>
  <si>
    <t>Blood Meal, Pig</t>
  </si>
  <si>
    <t>Spray Dried Haemoglobin, Bovine</t>
  </si>
  <si>
    <t>Spray Dried Haemoglobin, Bovine - CTM</t>
  </si>
  <si>
    <t>Spray Dried Haemoglobin, Swine</t>
  </si>
  <si>
    <t>Shrimp Meal</t>
  </si>
  <si>
    <t>Larvae  Meal - High Fat</t>
  </si>
  <si>
    <t>Molasses</t>
  </si>
  <si>
    <t>Glucose</t>
  </si>
  <si>
    <t>Soy Crude Oil</t>
  </si>
  <si>
    <t>Soy Lecithin</t>
  </si>
  <si>
    <t>Palm Oil</t>
  </si>
  <si>
    <t>Canola Oil</t>
  </si>
  <si>
    <t>Coconut Oil</t>
  </si>
  <si>
    <t>Palm Kernel Oil</t>
  </si>
  <si>
    <t>Yellow Grease</t>
  </si>
  <si>
    <t>Sunflower Oil</t>
  </si>
  <si>
    <t>Pork Grease</t>
  </si>
  <si>
    <t>Poultry Fatty</t>
  </si>
  <si>
    <t>Fish Oil</t>
  </si>
  <si>
    <t>Beef Tallow</t>
  </si>
  <si>
    <t>Rice Oil</t>
  </si>
  <si>
    <t>Soya Acid Oil, 65% FFA</t>
  </si>
  <si>
    <t>Palm Acid Oil</t>
  </si>
  <si>
    <t>Monosodium Phosphate</t>
  </si>
  <si>
    <t>Monocalcium Phosphate</t>
  </si>
  <si>
    <t>MonoDicalcium Phosphate</t>
  </si>
  <si>
    <t xml:space="preserve"> Defluorinated  Phosphate - Tricalphos</t>
  </si>
  <si>
    <t>Monoamonium Phosphate</t>
  </si>
  <si>
    <t>Phosphoric Acid</t>
  </si>
  <si>
    <t>Bone Meal, Steamed</t>
  </si>
  <si>
    <t>Bone Meal, Calcined</t>
  </si>
  <si>
    <t>Limestone 38%</t>
  </si>
  <si>
    <t>Limestone 36%</t>
  </si>
  <si>
    <t>Limestone 35%</t>
  </si>
  <si>
    <t>Limestone 34%</t>
  </si>
  <si>
    <t>Oyster Shell 36%</t>
  </si>
  <si>
    <t>Oyster Shell 35%</t>
  </si>
  <si>
    <t>Oyster Shell 34%</t>
  </si>
  <si>
    <t>Oyster Shell 33%</t>
  </si>
  <si>
    <t>Oyster Shell 32%</t>
  </si>
  <si>
    <t>Sand</t>
  </si>
  <si>
    <t>Vermiculite</t>
  </si>
  <si>
    <t>Mineral Oil</t>
  </si>
  <si>
    <t>Calcium Sulphate 20%</t>
  </si>
  <si>
    <t>Sodium Sesqcarbonate 30%</t>
  </si>
  <si>
    <t>Sodium Sulphate 32%</t>
  </si>
  <si>
    <t>Px Vitaminico Recria 0.5kg</t>
  </si>
  <si>
    <t>Px Vitaminico Producao 0.7kg</t>
  </si>
  <si>
    <t>Px Vitaminico Prod OXBZ 1.5kg</t>
  </si>
  <si>
    <t>Px Vitamin Prod BCZN  3kg</t>
  </si>
  <si>
    <t>Px Vitamin Prod BCZN CRMZ  3kg</t>
  </si>
  <si>
    <t>Px  14845 INI 1.8FT 6kg</t>
  </si>
  <si>
    <t>MO CRESC S/A MIN 1,0 ESP FT</t>
  </si>
  <si>
    <t>MO REPR C/MIN0.8 ESP FT mha</t>
  </si>
  <si>
    <t>MO REPR C/MIN 0.5 ESP FT</t>
  </si>
  <si>
    <t>MO REPR C/MIN 0,4 ESP FT mha</t>
  </si>
  <si>
    <t>PREMIX GALO 8 KG</t>
  </si>
  <si>
    <t>Px Mineral Recria 1kg</t>
  </si>
  <si>
    <t>Px Mineral Producao 2kg</t>
  </si>
  <si>
    <t>L-Lysine.HCl 65%</t>
  </si>
  <si>
    <t>Lysine.SO4(Biolys)</t>
  </si>
  <si>
    <t>MHA 88</t>
  </si>
  <si>
    <t>MHA 84</t>
  </si>
  <si>
    <t>L-Tryptophan</t>
  </si>
  <si>
    <t>L- Cystine</t>
  </si>
  <si>
    <t>L- Arginine.HCl</t>
  </si>
  <si>
    <t>L-Leucine</t>
  </si>
  <si>
    <t>L-Proline</t>
  </si>
  <si>
    <t>Glutamic Acid</t>
  </si>
  <si>
    <t>GuanidnoAcetic Acid</t>
  </si>
  <si>
    <t>Creamino - Broilers</t>
  </si>
  <si>
    <t>Guanamino - Broilers</t>
  </si>
  <si>
    <t>Guandino - Broilers</t>
  </si>
  <si>
    <t>NT-PB - Broilers</t>
  </si>
  <si>
    <t>Creamino - Breeders</t>
  </si>
  <si>
    <t>Guanamino - Breeders</t>
  </si>
  <si>
    <t>Guandino - Breeders</t>
  </si>
  <si>
    <t>NT-PB - Breeders</t>
  </si>
  <si>
    <t>Choline Chloride 50%</t>
  </si>
  <si>
    <t>Choline Chloride 60%</t>
  </si>
  <si>
    <t>Choline Chloride 70%</t>
  </si>
  <si>
    <t>Choline Chloride 75%</t>
  </si>
  <si>
    <t>Choline bitartrate</t>
  </si>
  <si>
    <t>BioCholine</t>
  </si>
  <si>
    <t>PhyCholine</t>
  </si>
  <si>
    <t>Kolin Plus</t>
  </si>
  <si>
    <t>Cholmax</t>
  </si>
  <si>
    <t>Betaine Anhydrous - BETAFIN</t>
  </si>
  <si>
    <t>Betaine.HCl</t>
  </si>
  <si>
    <t>Sodium Sulphate</t>
  </si>
  <si>
    <t>Ammonium Chloride</t>
  </si>
  <si>
    <t>Ammonium sulphate</t>
  </si>
  <si>
    <t>Cobalt Sulphate 21%</t>
  </si>
  <si>
    <t>Cupper Carbonate 50%</t>
  </si>
  <si>
    <t>Cupper Sulphate Penta 25%</t>
  </si>
  <si>
    <t>Cupper Sulphate Mono 35%</t>
  </si>
  <si>
    <t>TBCC 58% Tri Basic Cupper Chloride</t>
  </si>
  <si>
    <t>Sulphur Flower 98% S</t>
  </si>
  <si>
    <t>Sulphur Filtrate 70% S</t>
  </si>
  <si>
    <t>Iron sulphate 30%</t>
  </si>
  <si>
    <t>Calcium Iodate61,6%</t>
  </si>
  <si>
    <t>Potasium Iodate 68,8%</t>
  </si>
  <si>
    <t>Magnesium Oxide 52%</t>
  </si>
  <si>
    <t>Magnesium Sulphate 20%</t>
  </si>
  <si>
    <t>Magnesium Oxide 55%</t>
  </si>
  <si>
    <t>Manganesous  Oxide 58%</t>
  </si>
  <si>
    <t>Manganes Sulphate 25%</t>
  </si>
  <si>
    <t>Molibdenium Sulphate 40%</t>
  </si>
  <si>
    <t>Potasium Bicarb 39%</t>
  </si>
  <si>
    <t>Potasium Carbonate 52%</t>
  </si>
  <si>
    <t>Potasium Carbonate 56%</t>
  </si>
  <si>
    <t>Potasium Chloride 51</t>
  </si>
  <si>
    <t>Sodium Selenite 44%</t>
  </si>
  <si>
    <t>Selenium Methionine - SELISSEO 2%</t>
  </si>
  <si>
    <t>Zinc Oxide 73%</t>
  </si>
  <si>
    <t>Zinc Oxide 78%</t>
  </si>
  <si>
    <t>Zinc Hydroxychloride 55%</t>
  </si>
  <si>
    <t>Zinc Sulfate 35% Monohydrate</t>
  </si>
  <si>
    <t>Vit. A 500.000 UI/g</t>
  </si>
  <si>
    <t>Vit. A 1000.000  UI/g</t>
  </si>
  <si>
    <t>Vit. AD3 500.000/100.000  IU/g</t>
  </si>
  <si>
    <t>Vit. AD3 1.000.000/200.000  IU/g</t>
  </si>
  <si>
    <t>Vit. D3 500mil UI/g</t>
  </si>
  <si>
    <t>25(OH) Vit. D3 (1,25%) HyD</t>
  </si>
  <si>
    <t>25(OH)D3 (272 mg/kg ) HyD 250</t>
  </si>
  <si>
    <t>25(OH)D3 (69 mg/kg ) HyD Premix</t>
  </si>
  <si>
    <t>1,25(OH)2 Vit. D3 - Panbonis 10mg/kg</t>
  </si>
  <si>
    <t>1-alpha-(OH) Vit D3</t>
  </si>
  <si>
    <t>Vit. E 50%</t>
  </si>
  <si>
    <t>MSB 51%</t>
  </si>
  <si>
    <t>Vit K3 -  MNB 96% (43/31)</t>
  </si>
  <si>
    <t>MPB 43</t>
  </si>
  <si>
    <t>Thiamine Hydrochloride  98%</t>
  </si>
  <si>
    <t>Thiamine Mononitrate 98%</t>
  </si>
  <si>
    <t>Riboflavin 96%</t>
  </si>
  <si>
    <t>Riboflavina 80%</t>
  </si>
  <si>
    <t>Pyridoxine.HCl 99%</t>
  </si>
  <si>
    <t>Vit. B12 0,1%</t>
  </si>
  <si>
    <t>Vit. B12 1%</t>
  </si>
  <si>
    <t>Vit. B12 10%</t>
  </si>
  <si>
    <t>Vit. B12 99%</t>
  </si>
  <si>
    <t>Nicotinamide 98%</t>
  </si>
  <si>
    <t>Nicotinic Acid 99%</t>
  </si>
  <si>
    <t>Calcium D-Pantothenate 98%</t>
  </si>
  <si>
    <t>Folic Acid 98% (Dry Matter)</t>
  </si>
  <si>
    <t>Folic Acid 80% (Dry Matter)</t>
  </si>
  <si>
    <t>Biotin 1%</t>
  </si>
  <si>
    <t>Biotin 2%</t>
  </si>
  <si>
    <t>Biotin 99%</t>
  </si>
  <si>
    <t>Ascorbic Acid 99%</t>
  </si>
  <si>
    <t>Ethyl Cellulose Coated Ascorbic</t>
  </si>
  <si>
    <t>Fat Coated Ascorbic</t>
  </si>
  <si>
    <t>Medvita C LG 50% PEGAA</t>
  </si>
  <si>
    <t>Medvita C LG 30% PEGAA</t>
  </si>
  <si>
    <t>Ascorbyl mono-phosphate</t>
  </si>
  <si>
    <t>Vit C 42% mono-phosphate</t>
  </si>
  <si>
    <t>Antibiotics</t>
  </si>
  <si>
    <t>Zinc Bacitracin 15%</t>
  </si>
  <si>
    <t>BMD 11%</t>
  </si>
  <si>
    <t>Flavomycin</t>
  </si>
  <si>
    <t>Avilamycin - Surmax</t>
  </si>
  <si>
    <t>Virgianamycin</t>
  </si>
  <si>
    <t>Stafac 500</t>
  </si>
  <si>
    <t>Enramycin - Enradin</t>
  </si>
  <si>
    <t>Tylosin Phosphate</t>
  </si>
  <si>
    <t>Colistin Sulphate</t>
  </si>
  <si>
    <t>Chlorexidin Chloride</t>
  </si>
  <si>
    <t>Halquinol</t>
  </si>
  <si>
    <t>Olaquindox</t>
  </si>
  <si>
    <t>Neomycin Sulphate</t>
  </si>
  <si>
    <t>Coccidiostats</t>
  </si>
  <si>
    <t>Lasalocid - Cygro</t>
  </si>
  <si>
    <t>Lasalocid - Generic</t>
  </si>
  <si>
    <t>Narazin</t>
  </si>
  <si>
    <t>Narazin - Monteban</t>
  </si>
  <si>
    <t>Maduramycin 0.1%</t>
  </si>
  <si>
    <t>Maduramycin 1.0%</t>
  </si>
  <si>
    <t>Monensin</t>
  </si>
  <si>
    <t>Monensin - Coban</t>
  </si>
  <si>
    <t>Salinomycin 12%</t>
  </si>
  <si>
    <t>Saligran 12%</t>
  </si>
  <si>
    <t>Senduramycin - Aviax</t>
  </si>
  <si>
    <t>Senduramycin - Generic</t>
  </si>
  <si>
    <t>Nicarbazin</t>
  </si>
  <si>
    <t>Robenidine</t>
  </si>
  <si>
    <t>Clopidol</t>
  </si>
  <si>
    <t>Amprolium</t>
  </si>
  <si>
    <t>Mycotoxin Binders</t>
  </si>
  <si>
    <t>Bentonite</t>
  </si>
  <si>
    <t>Clinoptilolite</t>
  </si>
  <si>
    <t>Zeolite</t>
  </si>
  <si>
    <t>MasterSorb - Grasp</t>
  </si>
  <si>
    <t>MasterSorb Gold - Grasp</t>
  </si>
  <si>
    <t>Biofix</t>
  </si>
  <si>
    <t>Mycofix Secure</t>
  </si>
  <si>
    <t>Mycofix Select 3.0</t>
  </si>
  <si>
    <t>Mycofix FUM</t>
  </si>
  <si>
    <t>Mycofix Select 5.0</t>
  </si>
  <si>
    <t>Mycofix Plus 3.0</t>
  </si>
  <si>
    <t>Mycofix Plus 5.0</t>
  </si>
  <si>
    <t>Myco-AD</t>
  </si>
  <si>
    <t>Prebiotics</t>
  </si>
  <si>
    <t>Bio-Mos</t>
  </si>
  <si>
    <t>Hemicell MOS</t>
  </si>
  <si>
    <t>Alphamune</t>
  </si>
  <si>
    <t>BG MOS - GRASP</t>
  </si>
  <si>
    <t>Imunowall</t>
  </si>
  <si>
    <t>Probiotics</t>
  </si>
  <si>
    <t>yeast - Biosaf</t>
  </si>
  <si>
    <t>Bacteroides - Calsporin</t>
  </si>
  <si>
    <t>Lactobacilus - Poultry Star</t>
  </si>
  <si>
    <t>Lactobacilus - Protexin</t>
  </si>
  <si>
    <t>Lactobacilus - Cylactin</t>
  </si>
  <si>
    <t>Lactobacilus - Bioplus</t>
  </si>
  <si>
    <t>BioGus</t>
  </si>
  <si>
    <t>Essential Oils</t>
  </si>
  <si>
    <t>Activo - Grasp</t>
  </si>
  <si>
    <t>Immunostimulants</t>
  </si>
  <si>
    <t>Ascogen 15%</t>
  </si>
  <si>
    <t>BIOBOOSTER 15%</t>
  </si>
  <si>
    <t>Acidifiers</t>
  </si>
  <si>
    <t>Formic Acid</t>
  </si>
  <si>
    <t>Acetic Acid</t>
  </si>
  <si>
    <t>Propionic Acid</t>
  </si>
  <si>
    <t>Butyric Acid</t>
  </si>
  <si>
    <t>Lactic Acid</t>
  </si>
  <si>
    <t>Benzoic Acid</t>
  </si>
  <si>
    <t>Citric Acid</t>
  </si>
  <si>
    <t>Fumaric Acid</t>
  </si>
  <si>
    <t>Sorbic Acid</t>
  </si>
  <si>
    <t>Paraformic Acid</t>
  </si>
  <si>
    <t>Megacid FL 70%</t>
  </si>
  <si>
    <t>Megacid F 50%</t>
  </si>
  <si>
    <t>Selko pH</t>
  </si>
  <si>
    <t>Fysal</t>
  </si>
  <si>
    <t>Fylax</t>
  </si>
  <si>
    <t>Salkill</t>
  </si>
  <si>
    <t>MTC Anti Fungi Dry</t>
  </si>
  <si>
    <t>Formaldehyde</t>
  </si>
  <si>
    <t>Temin-8</t>
  </si>
  <si>
    <t>Salmex</t>
  </si>
  <si>
    <t>MTC Anti-sal</t>
  </si>
  <si>
    <t>Salkurb</t>
  </si>
  <si>
    <t>Enzymes</t>
  </si>
  <si>
    <t>Phytase - Natuphos 10000</t>
  </si>
  <si>
    <t>Phytase - Ronozyme 5000</t>
  </si>
  <si>
    <t>Phytase - Ronozyme 5000 coated</t>
  </si>
  <si>
    <t>Phytase - Ronozyme NP</t>
  </si>
  <si>
    <t>Phytase - Phyzyme 10000 TPP</t>
  </si>
  <si>
    <t>Phytase - Finase 5000</t>
  </si>
  <si>
    <t>Phytase - Quantum 250</t>
  </si>
  <si>
    <t>Phytase - QuantumBlue 10G</t>
  </si>
  <si>
    <t>Phytase - Optiphos 5000</t>
  </si>
  <si>
    <t>Phytase - Biomin</t>
  </si>
  <si>
    <t>Econase XT 25 - LP</t>
  </si>
  <si>
    <t>Econase XT 25 - ML</t>
  </si>
  <si>
    <t>Econase XT 25 - MD</t>
  </si>
  <si>
    <t>Econase XT 25 - MH</t>
  </si>
  <si>
    <t>Econase XT 25 - H</t>
  </si>
  <si>
    <t>Pigments</t>
  </si>
  <si>
    <t>Canthaxantine</t>
  </si>
  <si>
    <t>Lucantin Red</t>
  </si>
  <si>
    <t>Maxichick</t>
  </si>
  <si>
    <t>Antioxidants</t>
  </si>
  <si>
    <t>B.H.T</t>
  </si>
  <si>
    <t>B.H.A</t>
  </si>
  <si>
    <t>T.B.H.Q</t>
  </si>
  <si>
    <t>Banox E</t>
  </si>
  <si>
    <t>Seldox</t>
  </si>
  <si>
    <t xml:space="preserve">Amino Acid Ratios to Dig Lysine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</si>
</sst>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 wrapText="1"/>
    </xf>
    <xf numFmtId="164" fontId="0" fillId="0" borderId="1" xfId="0" applyNumberFormat="1" applyBorder="1"/>
    <xf numFmtId="0" fontId="0" fillId="0" borderId="3" xfId="0" applyBorder="1"/>
    <xf numFmtId="2" fontId="0" fillId="0" borderId="1" xfId="0" applyNumberFormat="1" applyBorder="1"/>
    <xf numFmtId="0" fontId="0" fillId="2" borderId="1" xfId="0" applyFill="1" applyBorder="1" applyAlignment="1">
      <alignment horizontal="center"/>
    </xf>
    <xf numFmtId="1" fontId="0" fillId="0" borderId="1" xfId="0" applyNumberFormat="1" applyBorder="1"/>
    <xf numFmtId="11" fontId="0" fillId="0" borderId="0" xfId="0" applyNumberFormat="1"/>
    <xf numFmtId="164" fontId="0" fillId="0" borderId="0" xfId="0" applyNumberFormat="1"/>
    <xf numFmtId="0" fontId="1" fillId="0" borderId="1" xfId="0" applyFont="1" applyBorder="1"/>
    <xf numFmtId="0" fontId="2" fillId="0" borderId="1" xfId="0" applyFont="1" applyBorder="1" applyAlignment="1">
      <alignment horizontal="center" wrapText="1"/>
    </xf>
    <xf numFmtId="1" fontId="2" fillId="0" borderId="1" xfId="0" applyNumberFormat="1" applyFont="1" applyBorder="1"/>
    <xf numFmtId="2" fontId="2" fillId="0" borderId="1" xfId="0" applyNumberFormat="1" applyFont="1" applyBorder="1"/>
    <xf numFmtId="0" fontId="0" fillId="0" borderId="1" xfId="0" applyFont="1" applyFill="1" applyBorder="1"/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2BC38-D35E-4B20-92D7-377F604614E0}">
  <dimension ref="A1:CG390"/>
  <sheetViews>
    <sheetView workbookViewId="0">
      <selection activeCell="A203" sqref="A203:B203"/>
    </sheetView>
  </sheetViews>
  <sheetFormatPr defaultRowHeight="14.4" x14ac:dyDescent="0.3"/>
  <cols>
    <col min="2" max="2" width="33.88671875" bestFit="1" customWidth="1"/>
  </cols>
  <sheetData>
    <row r="1" spans="1:85" x14ac:dyDescent="0.3"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  <c r="Q1" t="s">
        <v>121</v>
      </c>
      <c r="R1" t="s">
        <v>122</v>
      </c>
      <c r="S1" t="s">
        <v>123</v>
      </c>
      <c r="T1" t="s">
        <v>124</v>
      </c>
      <c r="U1" t="s">
        <v>125</v>
      </c>
      <c r="V1" t="s">
        <v>126</v>
      </c>
      <c r="W1" t="s">
        <v>127</v>
      </c>
      <c r="X1" t="s">
        <v>128</v>
      </c>
      <c r="Y1" t="s">
        <v>129</v>
      </c>
      <c r="Z1" t="s">
        <v>130</v>
      </c>
      <c r="AA1" t="s">
        <v>131</v>
      </c>
      <c r="AB1" t="s">
        <v>132</v>
      </c>
      <c r="AC1" t="s">
        <v>133</v>
      </c>
      <c r="AD1" t="s">
        <v>134</v>
      </c>
      <c r="AE1" t="s">
        <v>135</v>
      </c>
      <c r="AF1" t="s">
        <v>136</v>
      </c>
      <c r="AG1" t="s">
        <v>137</v>
      </c>
      <c r="AH1" t="s">
        <v>138</v>
      </c>
      <c r="AI1" t="s">
        <v>139</v>
      </c>
      <c r="AJ1" t="s">
        <v>140</v>
      </c>
      <c r="AK1" t="s">
        <v>141</v>
      </c>
      <c r="AL1" t="s">
        <v>142</v>
      </c>
      <c r="AM1" t="s">
        <v>143</v>
      </c>
      <c r="AN1" t="s">
        <v>144</v>
      </c>
      <c r="AO1" t="s">
        <v>145</v>
      </c>
      <c r="AP1" t="s">
        <v>146</v>
      </c>
      <c r="AQ1" t="s">
        <v>147</v>
      </c>
      <c r="AR1" t="s">
        <v>148</v>
      </c>
      <c r="AS1" t="s">
        <v>149</v>
      </c>
      <c r="AT1" t="s">
        <v>150</v>
      </c>
      <c r="AU1" t="s">
        <v>151</v>
      </c>
      <c r="AV1" t="s">
        <v>152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159</v>
      </c>
      <c r="BD1" t="s">
        <v>160</v>
      </c>
      <c r="BE1" t="s">
        <v>161</v>
      </c>
      <c r="BF1" t="s">
        <v>162</v>
      </c>
      <c r="BG1" t="s">
        <v>163</v>
      </c>
      <c r="BH1" t="s">
        <v>164</v>
      </c>
      <c r="BI1" t="s">
        <v>165</v>
      </c>
      <c r="BJ1" t="s">
        <v>166</v>
      </c>
      <c r="BK1" t="s">
        <v>167</v>
      </c>
      <c r="BL1" t="s">
        <v>168</v>
      </c>
      <c r="BM1" t="s">
        <v>169</v>
      </c>
      <c r="BN1" t="s">
        <v>170</v>
      </c>
      <c r="BO1" t="s">
        <v>171</v>
      </c>
      <c r="BP1" t="s">
        <v>172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181</v>
      </c>
      <c r="BZ1" t="s">
        <v>182</v>
      </c>
      <c r="CA1" t="s">
        <v>183</v>
      </c>
      <c r="CB1" t="s">
        <v>184</v>
      </c>
      <c r="CC1" t="s">
        <v>185</v>
      </c>
      <c r="CD1" t="s">
        <v>186</v>
      </c>
      <c r="CE1" t="s">
        <v>187</v>
      </c>
      <c r="CF1" t="s">
        <v>188</v>
      </c>
      <c r="CG1" t="s">
        <v>189</v>
      </c>
    </row>
    <row r="2" spans="1:85" x14ac:dyDescent="0.3">
      <c r="C2" t="s">
        <v>37</v>
      </c>
      <c r="D2" t="s">
        <v>38</v>
      </c>
      <c r="E2" t="s">
        <v>39</v>
      </c>
      <c r="F2" t="s">
        <v>190</v>
      </c>
      <c r="G2" t="s">
        <v>191</v>
      </c>
      <c r="H2" t="s">
        <v>192</v>
      </c>
      <c r="I2" t="s">
        <v>193</v>
      </c>
      <c r="J2" t="s">
        <v>42</v>
      </c>
      <c r="K2" t="s">
        <v>194</v>
      </c>
      <c r="L2" t="s">
        <v>43</v>
      </c>
      <c r="M2" t="s">
        <v>44</v>
      </c>
      <c r="N2" t="s">
        <v>45</v>
      </c>
      <c r="O2" t="s">
        <v>195</v>
      </c>
      <c r="P2" t="s">
        <v>196</v>
      </c>
      <c r="Q2" t="s">
        <v>197</v>
      </c>
      <c r="R2" t="s">
        <v>198</v>
      </c>
      <c r="S2" t="s">
        <v>199</v>
      </c>
      <c r="T2" t="s">
        <v>200</v>
      </c>
      <c r="U2" t="s">
        <v>201</v>
      </c>
      <c r="V2" t="s">
        <v>202</v>
      </c>
      <c r="W2" t="s">
        <v>203</v>
      </c>
      <c r="X2" t="s">
        <v>49</v>
      </c>
      <c r="Y2" t="s">
        <v>50</v>
      </c>
      <c r="Z2" t="s">
        <v>51</v>
      </c>
      <c r="AA2" t="s">
        <v>204</v>
      </c>
      <c r="AB2" t="s">
        <v>205</v>
      </c>
      <c r="AC2" t="s">
        <v>206</v>
      </c>
      <c r="AD2" t="s">
        <v>207</v>
      </c>
      <c r="AE2" t="s">
        <v>53</v>
      </c>
      <c r="AF2" t="s">
        <v>208</v>
      </c>
      <c r="AG2" t="s">
        <v>209</v>
      </c>
      <c r="AH2" t="s">
        <v>54</v>
      </c>
      <c r="AI2" t="s">
        <v>55</v>
      </c>
      <c r="AJ2" t="s">
        <v>56</v>
      </c>
      <c r="AK2" t="s">
        <v>58</v>
      </c>
      <c r="AL2" t="s">
        <v>59</v>
      </c>
      <c r="AM2" t="s">
        <v>210</v>
      </c>
      <c r="AN2" t="s">
        <v>84</v>
      </c>
      <c r="AO2" t="s">
        <v>48</v>
      </c>
      <c r="AP2" t="s">
        <v>211</v>
      </c>
      <c r="AQ2" t="s">
        <v>64</v>
      </c>
      <c r="AR2" t="s">
        <v>212</v>
      </c>
      <c r="AS2" t="s">
        <v>65</v>
      </c>
      <c r="AT2" t="s">
        <v>87</v>
      </c>
      <c r="AU2" t="s">
        <v>66</v>
      </c>
      <c r="AV2" t="s">
        <v>213</v>
      </c>
      <c r="AW2" t="s">
        <v>67</v>
      </c>
      <c r="AX2" t="s">
        <v>214</v>
      </c>
      <c r="AY2" t="s">
        <v>68</v>
      </c>
      <c r="AZ2" t="s">
        <v>215</v>
      </c>
      <c r="BA2" t="s">
        <v>69</v>
      </c>
      <c r="BB2" t="s">
        <v>91</v>
      </c>
      <c r="BC2" t="s">
        <v>70</v>
      </c>
      <c r="BD2" t="s">
        <v>92</v>
      </c>
      <c r="BE2" t="s">
        <v>71</v>
      </c>
      <c r="BF2" t="s">
        <v>216</v>
      </c>
      <c r="BG2" t="s">
        <v>72</v>
      </c>
      <c r="BH2" t="s">
        <v>217</v>
      </c>
      <c r="BI2" t="s">
        <v>73</v>
      </c>
      <c r="BJ2" t="s">
        <v>218</v>
      </c>
      <c r="BK2" t="s">
        <v>219</v>
      </c>
      <c r="BL2" t="s">
        <v>96</v>
      </c>
      <c r="BM2" t="s">
        <v>75</v>
      </c>
      <c r="BN2" t="s">
        <v>97</v>
      </c>
      <c r="BO2" t="s">
        <v>76</v>
      </c>
      <c r="BP2" t="s">
        <v>220</v>
      </c>
      <c r="BQ2" t="s">
        <v>77</v>
      </c>
      <c r="BR2" t="s">
        <v>221</v>
      </c>
      <c r="BS2" t="s">
        <v>222</v>
      </c>
      <c r="BT2" t="s">
        <v>223</v>
      </c>
      <c r="BU2" t="s">
        <v>79</v>
      </c>
      <c r="BV2" t="s">
        <v>224</v>
      </c>
      <c r="BW2" t="s">
        <v>225</v>
      </c>
      <c r="BX2" t="s">
        <v>102</v>
      </c>
      <c r="BY2" t="s">
        <v>81</v>
      </c>
      <c r="BZ2" t="s">
        <v>103</v>
      </c>
      <c r="CA2" t="s">
        <v>82</v>
      </c>
      <c r="CB2" t="s">
        <v>104</v>
      </c>
      <c r="CC2" t="s">
        <v>83</v>
      </c>
      <c r="CD2" t="s">
        <v>226</v>
      </c>
      <c r="CE2" t="s">
        <v>61</v>
      </c>
      <c r="CF2" t="s">
        <v>105</v>
      </c>
      <c r="CG2" t="s">
        <v>106</v>
      </c>
    </row>
    <row r="3" spans="1:85" x14ac:dyDescent="0.3">
      <c r="A3" t="s">
        <v>10</v>
      </c>
      <c r="B3" t="s">
        <v>11</v>
      </c>
      <c r="C3" t="s">
        <v>227</v>
      </c>
      <c r="D3" t="s">
        <v>227</v>
      </c>
      <c r="E3" t="s">
        <v>227</v>
      </c>
      <c r="F3" t="s">
        <v>227</v>
      </c>
      <c r="G3" t="s">
        <v>227</v>
      </c>
      <c r="H3" t="s">
        <v>227</v>
      </c>
      <c r="I3" t="s">
        <v>227</v>
      </c>
      <c r="J3" t="s">
        <v>227</v>
      </c>
      <c r="K3" t="s">
        <v>228</v>
      </c>
      <c r="L3" t="s">
        <v>227</v>
      </c>
      <c r="M3" t="s">
        <v>227</v>
      </c>
      <c r="N3" t="s">
        <v>227</v>
      </c>
      <c r="O3" t="s">
        <v>227</v>
      </c>
      <c r="P3" t="s">
        <v>227</v>
      </c>
      <c r="Q3" t="s">
        <v>227</v>
      </c>
      <c r="R3" t="s">
        <v>227</v>
      </c>
      <c r="S3" t="s">
        <v>229</v>
      </c>
      <c r="T3" t="s">
        <v>229</v>
      </c>
      <c r="U3" t="s">
        <v>229</v>
      </c>
      <c r="V3" t="s">
        <v>230</v>
      </c>
      <c r="W3" t="s">
        <v>229</v>
      </c>
      <c r="X3" t="s">
        <v>227</v>
      </c>
      <c r="Y3" t="s">
        <v>227</v>
      </c>
      <c r="Z3" t="s">
        <v>227</v>
      </c>
      <c r="AA3" t="s">
        <v>227</v>
      </c>
      <c r="AB3" t="s">
        <v>227</v>
      </c>
      <c r="AC3" t="s">
        <v>227</v>
      </c>
      <c r="AD3" t="s">
        <v>227</v>
      </c>
      <c r="AE3" t="s">
        <v>227</v>
      </c>
      <c r="AF3" t="s">
        <v>231</v>
      </c>
      <c r="AG3" t="s">
        <v>227</v>
      </c>
      <c r="AH3" t="s">
        <v>227</v>
      </c>
      <c r="AI3" t="s">
        <v>227</v>
      </c>
      <c r="AJ3" t="s">
        <v>232</v>
      </c>
      <c r="AK3" t="s">
        <v>227</v>
      </c>
      <c r="AL3" t="s">
        <v>231</v>
      </c>
      <c r="AM3" t="s">
        <v>231</v>
      </c>
      <c r="AN3" t="s">
        <v>227</v>
      </c>
      <c r="AO3" t="s">
        <v>227</v>
      </c>
      <c r="AP3" t="s">
        <v>227</v>
      </c>
      <c r="AQ3" t="s">
        <v>227</v>
      </c>
      <c r="AR3" t="s">
        <v>227</v>
      </c>
      <c r="AS3" t="s">
        <v>227</v>
      </c>
      <c r="AT3" t="s">
        <v>227</v>
      </c>
      <c r="AU3" t="s">
        <v>227</v>
      </c>
      <c r="AV3" t="s">
        <v>227</v>
      </c>
      <c r="AW3" t="s">
        <v>227</v>
      </c>
      <c r="AX3" t="s">
        <v>227</v>
      </c>
      <c r="AY3" t="s">
        <v>227</v>
      </c>
      <c r="AZ3" t="s">
        <v>227</v>
      </c>
      <c r="BA3" t="s">
        <v>227</v>
      </c>
      <c r="BB3" t="s">
        <v>227</v>
      </c>
      <c r="BC3" t="s">
        <v>227</v>
      </c>
      <c r="BD3" t="s">
        <v>227</v>
      </c>
      <c r="BE3" t="s">
        <v>227</v>
      </c>
      <c r="BF3" t="s">
        <v>227</v>
      </c>
      <c r="BG3" t="s">
        <v>227</v>
      </c>
      <c r="BH3" t="s">
        <v>227</v>
      </c>
      <c r="BI3" t="s">
        <v>227</v>
      </c>
      <c r="BJ3" t="s">
        <v>227</v>
      </c>
      <c r="BK3" t="s">
        <v>227</v>
      </c>
      <c r="BL3" t="s">
        <v>227</v>
      </c>
      <c r="BM3" t="s">
        <v>227</v>
      </c>
      <c r="BN3" t="s">
        <v>227</v>
      </c>
      <c r="BO3" t="s">
        <v>227</v>
      </c>
      <c r="BP3" t="s">
        <v>227</v>
      </c>
      <c r="BQ3" t="s">
        <v>227</v>
      </c>
      <c r="BR3" t="s">
        <v>227</v>
      </c>
      <c r="BS3" t="s">
        <v>227</v>
      </c>
      <c r="BT3" t="s">
        <v>227</v>
      </c>
      <c r="BU3" t="s">
        <v>227</v>
      </c>
      <c r="BV3" t="s">
        <v>227</v>
      </c>
      <c r="BW3" t="s">
        <v>227</v>
      </c>
      <c r="BX3" t="s">
        <v>227</v>
      </c>
      <c r="BY3" t="s">
        <v>227</v>
      </c>
      <c r="BZ3" t="s">
        <v>227</v>
      </c>
      <c r="CA3" t="s">
        <v>227</v>
      </c>
      <c r="CB3" t="s">
        <v>227</v>
      </c>
      <c r="CC3" t="s">
        <v>227</v>
      </c>
      <c r="CD3" t="s">
        <v>227</v>
      </c>
      <c r="CE3" t="s">
        <v>233</v>
      </c>
      <c r="CF3" t="s">
        <v>233</v>
      </c>
      <c r="CG3" t="s">
        <v>233</v>
      </c>
    </row>
    <row r="4" spans="1:85" x14ac:dyDescent="0.3">
      <c r="A4">
        <v>10010</v>
      </c>
      <c r="B4" t="s">
        <v>234</v>
      </c>
      <c r="C4">
        <v>10</v>
      </c>
      <c r="D4">
        <v>90</v>
      </c>
      <c r="E4">
        <v>13.8</v>
      </c>
      <c r="F4">
        <v>11.178000000000001</v>
      </c>
      <c r="G4">
        <v>2</v>
      </c>
      <c r="H4">
        <v>2.8571428571428599</v>
      </c>
      <c r="I4">
        <v>1.36</v>
      </c>
      <c r="J4">
        <v>2.9</v>
      </c>
      <c r="K4">
        <v>6.84</v>
      </c>
      <c r="L4">
        <v>11.9</v>
      </c>
      <c r="M4">
        <v>3.9</v>
      </c>
      <c r="N4">
        <v>1.6</v>
      </c>
      <c r="O4">
        <v>69.7</v>
      </c>
      <c r="P4">
        <v>2.5</v>
      </c>
      <c r="Q4">
        <v>56.8</v>
      </c>
      <c r="R4">
        <v>59.3</v>
      </c>
      <c r="S4">
        <v>1427.41545315488</v>
      </c>
      <c r="T4">
        <v>3146.8594646271499</v>
      </c>
      <c r="U4">
        <v>3146.8594646271499</v>
      </c>
      <c r="V4">
        <v>3146.8594646271499</v>
      </c>
      <c r="W4">
        <v>3146.8594646271499</v>
      </c>
      <c r="X4">
        <v>0.04</v>
      </c>
      <c r="Y4">
        <v>0.04</v>
      </c>
      <c r="Z4">
        <v>0.36</v>
      </c>
      <c r="AA4">
        <v>0.36</v>
      </c>
      <c r="AB4">
        <v>0.12</v>
      </c>
      <c r="AC4">
        <v>0.119988</v>
      </c>
      <c r="AD4">
        <v>0.129996</v>
      </c>
      <c r="AE4">
        <v>0.240012</v>
      </c>
      <c r="AF4">
        <v>140</v>
      </c>
      <c r="AG4">
        <v>9.9411517444304001E-2</v>
      </c>
      <c r="AI4">
        <v>0.02</v>
      </c>
      <c r="AJ4">
        <v>0.09</v>
      </c>
      <c r="AK4">
        <v>0.41</v>
      </c>
      <c r="AL4">
        <v>88.1693216155507</v>
      </c>
      <c r="AM4">
        <v>277.11220228885998</v>
      </c>
      <c r="AN4">
        <v>0.3644</v>
      </c>
      <c r="AO4">
        <v>0.33078600000000002</v>
      </c>
      <c r="AP4">
        <v>0.20480000000000001</v>
      </c>
      <c r="AQ4">
        <v>0.18962580000000001</v>
      </c>
      <c r="AR4">
        <v>0.30580000000000002</v>
      </c>
      <c r="AS4">
        <v>0.26283479999999998</v>
      </c>
      <c r="AT4">
        <v>0.51060000000000005</v>
      </c>
      <c r="AU4">
        <v>0.45246059999999999</v>
      </c>
      <c r="AV4">
        <v>0.37640000000000001</v>
      </c>
      <c r="AW4">
        <v>0.33230399999999999</v>
      </c>
      <c r="AX4">
        <v>0.16819999999999999</v>
      </c>
      <c r="AY4">
        <v>0.14897099999999999</v>
      </c>
      <c r="AZ4">
        <v>0.47320000000000001</v>
      </c>
      <c r="BA4">
        <v>0.434562</v>
      </c>
      <c r="BB4">
        <v>0.89859999999999995</v>
      </c>
      <c r="BC4">
        <v>0.799848</v>
      </c>
      <c r="BD4">
        <v>0.57840000000000003</v>
      </c>
      <c r="BE4">
        <v>0.52412400000000003</v>
      </c>
      <c r="BF4">
        <v>0.30480000000000002</v>
      </c>
      <c r="BG4">
        <v>0.27572400000000002</v>
      </c>
      <c r="BH4">
        <v>0.64680000000000004</v>
      </c>
      <c r="BI4">
        <v>0.55304880000000001</v>
      </c>
      <c r="BJ4">
        <v>0.62839999999999996</v>
      </c>
      <c r="BK4">
        <v>0.55883099999999997</v>
      </c>
      <c r="BL4">
        <v>0.39329999999999998</v>
      </c>
      <c r="BM4">
        <v>0.34610400000000002</v>
      </c>
      <c r="BN4">
        <v>0.61560000000000004</v>
      </c>
      <c r="BO4">
        <v>0.6031704</v>
      </c>
      <c r="BP4">
        <v>0.55300000000000005</v>
      </c>
      <c r="BQ4">
        <v>0.46136159999999998</v>
      </c>
      <c r="BR4">
        <v>3.9164400000000001</v>
      </c>
      <c r="BS4">
        <v>3.7989468</v>
      </c>
      <c r="BT4">
        <v>1.3548</v>
      </c>
      <c r="BU4">
        <v>1.2691584</v>
      </c>
      <c r="BV4">
        <v>0.67920000000000003</v>
      </c>
      <c r="BW4">
        <v>0.57612240000000003</v>
      </c>
      <c r="BX4">
        <v>1.0074000000000001</v>
      </c>
      <c r="BY4">
        <v>0.90493500000000004</v>
      </c>
      <c r="BZ4">
        <v>1.16472</v>
      </c>
      <c r="CA4">
        <v>1.064532</v>
      </c>
      <c r="CB4">
        <v>0.47160000000000002</v>
      </c>
      <c r="CC4">
        <v>0.39630840000000001</v>
      </c>
      <c r="CD4">
        <v>1.4285714285714299</v>
      </c>
      <c r="CE4">
        <v>1026</v>
      </c>
      <c r="CF4">
        <v>1026</v>
      </c>
    </row>
    <row r="5" spans="1:85" x14ac:dyDescent="0.3">
      <c r="A5">
        <v>10100</v>
      </c>
      <c r="B5" t="s">
        <v>235</v>
      </c>
      <c r="C5">
        <v>11.4</v>
      </c>
      <c r="D5">
        <v>88.6</v>
      </c>
      <c r="E5">
        <v>11.2</v>
      </c>
      <c r="F5">
        <v>9.0719999999999992</v>
      </c>
      <c r="G5">
        <v>1.8</v>
      </c>
      <c r="H5">
        <v>2.5714285714285698</v>
      </c>
      <c r="I5">
        <v>1.224</v>
      </c>
      <c r="J5">
        <v>2.8</v>
      </c>
      <c r="K5">
        <v>6.84</v>
      </c>
      <c r="L5">
        <v>11</v>
      </c>
      <c r="M5">
        <v>3.7</v>
      </c>
      <c r="N5">
        <v>1.6</v>
      </c>
      <c r="O5">
        <v>71.2</v>
      </c>
      <c r="P5">
        <v>2.5</v>
      </c>
      <c r="Q5">
        <v>56</v>
      </c>
      <c r="R5">
        <v>58.5</v>
      </c>
      <c r="S5">
        <v>1405.2926959847</v>
      </c>
      <c r="T5">
        <v>3098.0879541108998</v>
      </c>
      <c r="U5">
        <v>3098.0879541108998</v>
      </c>
      <c r="V5">
        <v>3098.0879541108998</v>
      </c>
      <c r="W5">
        <v>3098.0879541108998</v>
      </c>
      <c r="X5">
        <v>0.04</v>
      </c>
      <c r="Y5">
        <v>0.04</v>
      </c>
      <c r="Z5">
        <v>0.35008</v>
      </c>
      <c r="AA5">
        <v>0.35008</v>
      </c>
      <c r="AB5">
        <v>0.116693333333333</v>
      </c>
      <c r="AC5">
        <v>0.120042432</v>
      </c>
      <c r="AD5">
        <v>0.13001971200000001</v>
      </c>
      <c r="AE5">
        <v>0.230037568</v>
      </c>
      <c r="AF5">
        <v>140</v>
      </c>
      <c r="AG5" s="9">
        <v>7.8394283312316501E-2</v>
      </c>
      <c r="AI5">
        <v>0.01</v>
      </c>
      <c r="AJ5">
        <v>0.08</v>
      </c>
      <c r="AK5">
        <v>0.46</v>
      </c>
      <c r="AL5">
        <v>99.425655706004704</v>
      </c>
      <c r="AM5">
        <v>361.23964708445101</v>
      </c>
      <c r="AN5">
        <v>0.30819999999999997</v>
      </c>
      <c r="AO5">
        <v>0.26846399999999998</v>
      </c>
      <c r="AP5">
        <v>0.1686</v>
      </c>
      <c r="AQ5">
        <v>0.15389920000000001</v>
      </c>
      <c r="AR5">
        <v>0.2576</v>
      </c>
      <c r="AS5">
        <v>0.21331520000000001</v>
      </c>
      <c r="AT5">
        <v>0.42620000000000002</v>
      </c>
      <c r="AU5">
        <v>0.3672144</v>
      </c>
      <c r="AV5">
        <v>0.31680000000000003</v>
      </c>
      <c r="AW5">
        <v>0.26969599999999999</v>
      </c>
      <c r="AX5">
        <v>0.15540000000000001</v>
      </c>
      <c r="AY5">
        <v>0.120904</v>
      </c>
      <c r="AZ5">
        <v>0.37819999999999998</v>
      </c>
      <c r="BA5">
        <v>0.352688</v>
      </c>
      <c r="BB5">
        <v>0.74480000000000002</v>
      </c>
      <c r="BC5">
        <v>0.64915199999999995</v>
      </c>
      <c r="BD5">
        <v>0.47160000000000002</v>
      </c>
      <c r="BE5">
        <v>0.42537599999999998</v>
      </c>
      <c r="BF5">
        <v>0.25840000000000002</v>
      </c>
      <c r="BG5">
        <v>0.223776</v>
      </c>
      <c r="BH5">
        <v>0.52900000000000003</v>
      </c>
      <c r="BI5">
        <v>0.46811520000000001</v>
      </c>
      <c r="BJ5">
        <v>0.5232</v>
      </c>
      <c r="BK5">
        <v>0.453544</v>
      </c>
      <c r="BL5">
        <v>0.31919999999999998</v>
      </c>
      <c r="BM5">
        <v>0.28089599999999998</v>
      </c>
      <c r="BN5">
        <v>0.51700000000000002</v>
      </c>
      <c r="BO5">
        <v>0.48952960000000001</v>
      </c>
      <c r="BP5">
        <v>0.45340000000000003</v>
      </c>
      <c r="BQ5">
        <v>0.3744384</v>
      </c>
      <c r="BR5">
        <v>3.069</v>
      </c>
      <c r="BS5">
        <v>3.0832031999999998</v>
      </c>
      <c r="BT5">
        <v>1.0895999999999999</v>
      </c>
      <c r="BU5">
        <v>1.0300415999999999</v>
      </c>
      <c r="BV5">
        <v>0.55500000000000005</v>
      </c>
      <c r="BW5">
        <v>0.48545280000000002</v>
      </c>
      <c r="BX5">
        <v>0.81759999999999999</v>
      </c>
      <c r="BY5">
        <v>0.73443999999999998</v>
      </c>
      <c r="BZ5">
        <v>0.94528000000000001</v>
      </c>
      <c r="CA5">
        <v>0.86396799999999996</v>
      </c>
      <c r="CB5">
        <v>0.39660000000000001</v>
      </c>
      <c r="CC5">
        <v>0.32164160000000003</v>
      </c>
      <c r="CD5">
        <v>1.46571428571428</v>
      </c>
      <c r="CE5">
        <v>1092</v>
      </c>
      <c r="CF5">
        <v>1092</v>
      </c>
    </row>
    <row r="6" spans="1:85" x14ac:dyDescent="0.3">
      <c r="A6">
        <v>10200</v>
      </c>
      <c r="B6" t="s">
        <v>13</v>
      </c>
      <c r="C6">
        <v>12</v>
      </c>
      <c r="D6">
        <v>88</v>
      </c>
      <c r="E6">
        <v>8.2056818181818194</v>
      </c>
      <c r="F6">
        <v>6.8144457644628096</v>
      </c>
      <c r="G6">
        <v>3.7271590909090899</v>
      </c>
      <c r="H6">
        <v>4.18888888888889</v>
      </c>
      <c r="I6">
        <v>3.3900206095041301</v>
      </c>
      <c r="J6">
        <v>2.02670454545455</v>
      </c>
      <c r="K6">
        <v>6.84</v>
      </c>
      <c r="L6">
        <v>2.9659090909090899</v>
      </c>
      <c r="M6">
        <v>7.9090909090909101</v>
      </c>
      <c r="N6">
        <v>1.1863636363636401</v>
      </c>
      <c r="O6">
        <v>72.854090909090999</v>
      </c>
      <c r="P6">
        <v>1.97727272727273</v>
      </c>
      <c r="Q6">
        <v>62.679545454545497</v>
      </c>
      <c r="R6">
        <v>64.656818181818196</v>
      </c>
      <c r="S6">
        <v>1510.5804701308</v>
      </c>
      <c r="T6">
        <v>3330.2038583130502</v>
      </c>
      <c r="U6">
        <v>3330.2038583130502</v>
      </c>
      <c r="V6">
        <v>3330.2038583130502</v>
      </c>
      <c r="W6">
        <v>3330.2038583130502</v>
      </c>
      <c r="X6" s="9">
        <v>1.8062386363636398E-2</v>
      </c>
      <c r="Y6" s="9">
        <v>1.8062386363636398E-2</v>
      </c>
      <c r="Z6">
        <v>0.243607639462811</v>
      </c>
      <c r="AA6">
        <v>0.243607639462811</v>
      </c>
      <c r="AB6" s="9">
        <v>8.1202546487603694E-2</v>
      </c>
      <c r="AC6" s="9">
        <v>7.4128974207944301E-2</v>
      </c>
      <c r="AD6" s="9">
        <v>7.1360705577685202E-2</v>
      </c>
      <c r="AE6">
        <v>0.16947866525486699</v>
      </c>
      <c r="AF6">
        <v>160</v>
      </c>
      <c r="AG6">
        <v>6.5867534105239003E-2</v>
      </c>
      <c r="AI6" s="9">
        <v>1.9772727272727299E-2</v>
      </c>
      <c r="AJ6" s="9">
        <v>4.9431818181818202E-2</v>
      </c>
      <c r="AK6">
        <v>0.32624999999999998</v>
      </c>
      <c r="AL6">
        <v>78.095854456230697</v>
      </c>
      <c r="AM6">
        <v>61.577511029983597</v>
      </c>
      <c r="AN6">
        <v>0.25273499999999999</v>
      </c>
      <c r="AO6">
        <v>0.22240679999999999</v>
      </c>
      <c r="AP6">
        <v>0.16821647727272701</v>
      </c>
      <c r="AQ6">
        <v>0.158123488636363</v>
      </c>
      <c r="AR6">
        <v>0.17787954545454501</v>
      </c>
      <c r="AS6">
        <v>0.159198432954546</v>
      </c>
      <c r="AT6">
        <v>0.35017045454545498</v>
      </c>
      <c r="AU6">
        <v>0.317321921590909</v>
      </c>
      <c r="AV6">
        <v>0.29037613636363602</v>
      </c>
      <c r="AW6">
        <v>0.25122515454545502</v>
      </c>
      <c r="AX6" s="9">
        <v>6.4004318181818204E-2</v>
      </c>
      <c r="AY6" s="9">
        <v>5.5043713636363699E-2</v>
      </c>
      <c r="AZ6">
        <v>0.27819886363636398</v>
      </c>
      <c r="BA6">
        <v>0.2686212</v>
      </c>
      <c r="BB6">
        <v>0.99061818181817995</v>
      </c>
      <c r="BC6">
        <v>0.88627928181818205</v>
      </c>
      <c r="BD6">
        <v>0.38063863636363598</v>
      </c>
      <c r="BE6">
        <v>0.36095973749999999</v>
      </c>
      <c r="BF6">
        <v>0.232936363636364</v>
      </c>
      <c r="BG6">
        <v>0.225286994318182</v>
      </c>
      <c r="BH6">
        <v>0.38299318181818198</v>
      </c>
      <c r="BI6">
        <v>0.34689519886363601</v>
      </c>
      <c r="BJ6">
        <v>0.395901136363636</v>
      </c>
      <c r="BK6">
        <v>0.35934321818181902</v>
      </c>
      <c r="BL6">
        <v>0.27242863636363601</v>
      </c>
      <c r="BM6">
        <v>0.21794290909090899</v>
      </c>
      <c r="BN6">
        <v>0.39487272727272699</v>
      </c>
      <c r="BO6">
        <v>0.38197448863636302</v>
      </c>
      <c r="BP6">
        <v>0.31414204545454599</v>
      </c>
      <c r="BQ6">
        <v>0.26950741363636399</v>
      </c>
      <c r="BR6">
        <v>1.4853420454545501</v>
      </c>
      <c r="BS6">
        <v>1.42395658295455</v>
      </c>
      <c r="BT6">
        <v>0.72930568181818201</v>
      </c>
      <c r="BU6">
        <v>0.67877399999999999</v>
      </c>
      <c r="BV6">
        <v>0.53531249999999997</v>
      </c>
      <c r="BW6">
        <v>0.480770897727272</v>
      </c>
      <c r="BX6">
        <v>0.66301909090909095</v>
      </c>
      <c r="BY6">
        <v>0.57728612727272799</v>
      </c>
      <c r="BZ6">
        <v>0.71061204545454504</v>
      </c>
      <c r="CA6">
        <v>0.65148190227272695</v>
      </c>
      <c r="CB6">
        <v>0.59655306818181797</v>
      </c>
      <c r="CC6">
        <v>0.54882882272727296</v>
      </c>
      <c r="CD6">
        <v>2.3191212121212099</v>
      </c>
      <c r="CE6">
        <v>320</v>
      </c>
      <c r="CF6">
        <v>320</v>
      </c>
    </row>
    <row r="7" spans="1:85" x14ac:dyDescent="0.3">
      <c r="A7">
        <v>10300</v>
      </c>
      <c r="B7" t="s">
        <v>236</v>
      </c>
      <c r="C7">
        <v>13.2</v>
      </c>
      <c r="D7">
        <v>86.8</v>
      </c>
      <c r="E7">
        <v>8.6999999999999993</v>
      </c>
      <c r="F7">
        <v>6.2640000000000002</v>
      </c>
      <c r="G7">
        <v>3</v>
      </c>
      <c r="H7">
        <v>3.5005834305717598</v>
      </c>
      <c r="I7">
        <v>2.4900000000000002</v>
      </c>
      <c r="J7">
        <v>2.1</v>
      </c>
      <c r="K7">
        <v>6.84</v>
      </c>
      <c r="L7">
        <v>9</v>
      </c>
      <c r="M7">
        <v>3.8</v>
      </c>
      <c r="N7">
        <v>1.3</v>
      </c>
      <c r="O7">
        <v>71.7</v>
      </c>
      <c r="P7">
        <v>1</v>
      </c>
      <c r="Q7">
        <v>63.8</v>
      </c>
      <c r="R7">
        <v>64.8</v>
      </c>
      <c r="S7">
        <v>1455.3209598470401</v>
      </c>
      <c r="T7">
        <v>3208.37954110899</v>
      </c>
      <c r="U7">
        <v>3208.37954110899</v>
      </c>
      <c r="V7">
        <v>3208.37954110899</v>
      </c>
      <c r="W7">
        <v>3208.37954110899</v>
      </c>
      <c r="X7">
        <v>2.002E-2</v>
      </c>
      <c r="Y7">
        <v>2.002E-2</v>
      </c>
      <c r="Z7">
        <v>0.30003999999999997</v>
      </c>
      <c r="AA7">
        <v>0.30003999999999997</v>
      </c>
      <c r="AB7">
        <v>0.100013333333333</v>
      </c>
      <c r="AC7">
        <v>0.100003332</v>
      </c>
      <c r="AD7">
        <v>9.0011999999999995E-2</v>
      </c>
      <c r="AE7">
        <v>0.200036668</v>
      </c>
      <c r="AF7">
        <v>90</v>
      </c>
      <c r="AG7" s="9">
        <v>8.6591004623791504E-2</v>
      </c>
      <c r="AI7">
        <v>0.01</v>
      </c>
      <c r="AJ7">
        <v>0.09</v>
      </c>
      <c r="AK7">
        <v>0.35</v>
      </c>
      <c r="AL7">
        <v>68.473227861689693</v>
      </c>
      <c r="AM7">
        <v>94.527455045641005</v>
      </c>
      <c r="AN7">
        <v>0.20230000000000001</v>
      </c>
      <c r="AO7">
        <v>0.1735824</v>
      </c>
      <c r="AP7">
        <v>0.1537</v>
      </c>
      <c r="AQ7">
        <v>0.13397999999999999</v>
      </c>
      <c r="AR7">
        <v>0.15679999999999999</v>
      </c>
      <c r="AS7">
        <v>0.1259412</v>
      </c>
      <c r="AT7">
        <v>0.3105</v>
      </c>
      <c r="AU7">
        <v>0.25992120000000002</v>
      </c>
      <c r="AV7">
        <v>0.28820000000000001</v>
      </c>
      <c r="AW7">
        <v>0.22749630000000001</v>
      </c>
      <c r="AX7">
        <v>0.10440000000000001</v>
      </c>
      <c r="AY7">
        <v>9.2341800000000002E-2</v>
      </c>
      <c r="AZ7">
        <v>0.33279999999999998</v>
      </c>
      <c r="BA7">
        <v>0.29897550000000001</v>
      </c>
      <c r="BB7">
        <v>1.1084000000000001</v>
      </c>
      <c r="BC7">
        <v>0.96517799999999998</v>
      </c>
      <c r="BD7">
        <v>0.43149999999999999</v>
      </c>
      <c r="BE7">
        <v>0.36759239999999999</v>
      </c>
      <c r="BF7">
        <v>0.1943</v>
      </c>
      <c r="BG7">
        <v>0.159384</v>
      </c>
      <c r="BH7">
        <v>0.3402</v>
      </c>
      <c r="BI7">
        <v>0.28988399999999998</v>
      </c>
      <c r="BJ7">
        <v>0.43480000000000002</v>
      </c>
      <c r="BK7">
        <v>0.38828970000000002</v>
      </c>
      <c r="BL7">
        <v>0.30885000000000001</v>
      </c>
      <c r="BN7">
        <v>0.38319999999999999</v>
      </c>
      <c r="BO7">
        <v>0.35864010000000002</v>
      </c>
      <c r="BP7">
        <v>0.28970000000000001</v>
      </c>
      <c r="BQ7">
        <v>0.2026056</v>
      </c>
      <c r="BR7">
        <v>1.7142999999999999</v>
      </c>
      <c r="BS7">
        <v>1.5410484</v>
      </c>
      <c r="BT7">
        <v>0.69910000000000005</v>
      </c>
      <c r="BU7">
        <v>0.584901</v>
      </c>
      <c r="BV7">
        <v>0.59199999999999997</v>
      </c>
      <c r="BW7">
        <v>0.4943862</v>
      </c>
      <c r="BX7">
        <v>0.75516000000000005</v>
      </c>
      <c r="BY7">
        <v>0.38828970000000002</v>
      </c>
      <c r="BZ7">
        <v>0.67947000000000002</v>
      </c>
      <c r="CA7">
        <v>0.56124569999999996</v>
      </c>
      <c r="CB7">
        <v>0.79344000000000003</v>
      </c>
      <c r="CC7">
        <v>0.68235840000000003</v>
      </c>
      <c r="CD7">
        <v>1.57526254375729</v>
      </c>
      <c r="CE7">
        <v>668</v>
      </c>
      <c r="CF7">
        <v>668</v>
      </c>
    </row>
    <row r="8" spans="1:85" x14ac:dyDescent="0.3">
      <c r="A8">
        <v>10400</v>
      </c>
      <c r="B8" t="s">
        <v>237</v>
      </c>
      <c r="C8">
        <v>10.6</v>
      </c>
      <c r="D8">
        <v>89.4</v>
      </c>
      <c r="E8">
        <v>8.9</v>
      </c>
      <c r="F8">
        <v>5.34</v>
      </c>
      <c r="G8">
        <v>1.5</v>
      </c>
      <c r="H8">
        <v>2.1551724137931001</v>
      </c>
      <c r="I8">
        <v>0.94499999999999995</v>
      </c>
      <c r="J8">
        <v>2.2999999999999998</v>
      </c>
      <c r="K8">
        <v>6.84</v>
      </c>
      <c r="L8">
        <v>13</v>
      </c>
      <c r="M8">
        <v>3.8</v>
      </c>
      <c r="N8">
        <v>1.5</v>
      </c>
      <c r="O8">
        <v>75.2</v>
      </c>
      <c r="P8">
        <v>4.7</v>
      </c>
      <c r="Q8">
        <v>53.9</v>
      </c>
      <c r="R8">
        <v>58.6</v>
      </c>
      <c r="S8">
        <v>1184.40987762906</v>
      </c>
      <c r="T8">
        <v>2611.1328871892902</v>
      </c>
      <c r="U8">
        <v>2611.1328871892902</v>
      </c>
      <c r="V8">
        <v>2611.1328871892902</v>
      </c>
      <c r="W8">
        <v>2611.1328871892902</v>
      </c>
      <c r="X8">
        <v>4.0050000000000002E-2</v>
      </c>
      <c r="Y8">
        <v>4.0050000000000002E-2</v>
      </c>
      <c r="Z8">
        <v>0.34005000000000002</v>
      </c>
      <c r="AA8">
        <v>0.34005000000000002</v>
      </c>
      <c r="AB8">
        <v>0.11335000000000001</v>
      </c>
      <c r="AC8">
        <v>0.12000364500000001</v>
      </c>
      <c r="AD8">
        <v>0.13003512</v>
      </c>
      <c r="AE8">
        <v>0.220046355</v>
      </c>
      <c r="AF8">
        <v>85</v>
      </c>
      <c r="AG8">
        <v>5.0231189575452001E-2</v>
      </c>
      <c r="AI8">
        <v>0.02</v>
      </c>
      <c r="AJ8">
        <v>0.03</v>
      </c>
      <c r="AK8">
        <v>0.48</v>
      </c>
      <c r="AL8">
        <v>122.996466043212</v>
      </c>
      <c r="AM8">
        <v>76.532593714301996</v>
      </c>
      <c r="AN8">
        <v>0.33829999999999999</v>
      </c>
      <c r="AO8">
        <v>0.26272800000000002</v>
      </c>
      <c r="AP8">
        <v>0.1507</v>
      </c>
      <c r="AQ8">
        <v>0.1075743</v>
      </c>
      <c r="AR8">
        <v>0.2064</v>
      </c>
      <c r="AS8">
        <v>0.1502676</v>
      </c>
      <c r="AT8">
        <v>0.35709999999999997</v>
      </c>
      <c r="AU8">
        <v>0.25784190000000001</v>
      </c>
      <c r="AV8">
        <v>0.2954</v>
      </c>
      <c r="AW8">
        <v>0.21867300000000001</v>
      </c>
      <c r="AX8">
        <v>9.6299999999999997E-2</v>
      </c>
      <c r="AY8">
        <v>7.7136300000000005E-2</v>
      </c>
      <c r="AZ8">
        <v>0.2898</v>
      </c>
      <c r="BA8">
        <v>0.230688</v>
      </c>
      <c r="BB8">
        <v>0.55210000000000004</v>
      </c>
      <c r="BC8">
        <v>0.44633499999999998</v>
      </c>
      <c r="BD8">
        <v>0.4098</v>
      </c>
      <c r="BE8">
        <v>0.32152140000000001</v>
      </c>
      <c r="BF8">
        <v>0.19789999999999999</v>
      </c>
      <c r="BG8">
        <v>0.1416346</v>
      </c>
      <c r="BH8">
        <v>0.46650000000000003</v>
      </c>
      <c r="BI8">
        <v>0.3670716</v>
      </c>
      <c r="BJ8">
        <v>0.39419999999999999</v>
      </c>
      <c r="BK8">
        <v>0.302867</v>
      </c>
      <c r="BL8">
        <v>0.26700000000000002</v>
      </c>
      <c r="BN8">
        <v>0.378</v>
      </c>
      <c r="BP8">
        <v>0.39150000000000001</v>
      </c>
      <c r="BR8">
        <v>1.9494</v>
      </c>
      <c r="BT8">
        <v>0.80549999999999999</v>
      </c>
      <c r="BV8">
        <v>0.63200000000000001</v>
      </c>
      <c r="BX8">
        <v>0.63634999999999997</v>
      </c>
      <c r="BY8">
        <v>0.302867</v>
      </c>
      <c r="BZ8">
        <v>0.74492999999999998</v>
      </c>
      <c r="CB8">
        <v>0.35866999999999999</v>
      </c>
      <c r="CD8">
        <v>1.1853448275862</v>
      </c>
      <c r="CE8">
        <v>419</v>
      </c>
      <c r="CF8">
        <v>419</v>
      </c>
    </row>
    <row r="9" spans="1:85" x14ac:dyDescent="0.3">
      <c r="A9">
        <v>10500</v>
      </c>
      <c r="B9" t="s">
        <v>238</v>
      </c>
      <c r="C9">
        <v>9.8000000000000007</v>
      </c>
      <c r="D9">
        <v>90.2</v>
      </c>
      <c r="E9">
        <v>11.3</v>
      </c>
      <c r="F9">
        <v>7.6840000000000002</v>
      </c>
      <c r="G9">
        <v>1.8</v>
      </c>
      <c r="H9">
        <v>2.8037383177570101</v>
      </c>
      <c r="I9">
        <v>1.107</v>
      </c>
      <c r="J9">
        <v>6</v>
      </c>
      <c r="K9">
        <v>6.84</v>
      </c>
      <c r="L9">
        <v>19.5</v>
      </c>
      <c r="M9">
        <v>6.8</v>
      </c>
      <c r="N9">
        <v>2.2000000000000002</v>
      </c>
      <c r="O9">
        <v>68.900000000000006</v>
      </c>
      <c r="P9">
        <v>2.6</v>
      </c>
      <c r="Q9">
        <v>50</v>
      </c>
      <c r="R9">
        <v>52.6</v>
      </c>
      <c r="S9">
        <v>1252.3913346080301</v>
      </c>
      <c r="T9">
        <v>2761.0038240917802</v>
      </c>
      <c r="U9">
        <v>2761.0038240917802</v>
      </c>
      <c r="V9">
        <v>2761.0038240917802</v>
      </c>
      <c r="W9">
        <v>2761.0038240917802</v>
      </c>
      <c r="X9">
        <v>6.0060000000000002E-2</v>
      </c>
      <c r="Y9">
        <v>6.0060000000000002E-2</v>
      </c>
      <c r="Z9">
        <v>0.35992000000000002</v>
      </c>
      <c r="AA9">
        <v>0.35992000000000002</v>
      </c>
      <c r="AB9">
        <v>0.119973333333333</v>
      </c>
      <c r="AC9">
        <v>0.13997288799999999</v>
      </c>
      <c r="AD9">
        <v>0.129967112</v>
      </c>
      <c r="AE9">
        <v>0.219947112</v>
      </c>
      <c r="AF9">
        <v>125</v>
      </c>
      <c r="AG9">
        <v>0.148591845313157</v>
      </c>
      <c r="AI9">
        <v>0.02</v>
      </c>
      <c r="AJ9">
        <v>0.15</v>
      </c>
      <c r="AK9">
        <v>0.47</v>
      </c>
      <c r="AL9">
        <v>86.588558447158405</v>
      </c>
      <c r="AM9">
        <v>36.351810519693998</v>
      </c>
      <c r="AN9">
        <v>0.3962</v>
      </c>
      <c r="AO9">
        <v>0.34702300000000003</v>
      </c>
      <c r="AP9">
        <v>0.1779</v>
      </c>
      <c r="AQ9">
        <v>0.16373699999999999</v>
      </c>
      <c r="AR9">
        <v>0.2465</v>
      </c>
      <c r="AS9">
        <v>0.19495889999999999</v>
      </c>
      <c r="AT9">
        <v>0.4244</v>
      </c>
      <c r="AU9">
        <v>0.35869590000000001</v>
      </c>
      <c r="AV9">
        <v>0.36509999999999998</v>
      </c>
      <c r="AW9">
        <v>0.28512159999999998</v>
      </c>
      <c r="AX9">
        <v>0.13700000000000001</v>
      </c>
      <c r="AY9">
        <v>0.116616</v>
      </c>
      <c r="AZ9">
        <v>0.38919999999999999</v>
      </c>
      <c r="BA9">
        <v>0.32945150000000001</v>
      </c>
      <c r="BB9">
        <v>0.76619999999999999</v>
      </c>
      <c r="BC9">
        <v>0.62933090000000003</v>
      </c>
      <c r="BD9">
        <v>0.54590000000000005</v>
      </c>
      <c r="BE9">
        <v>0.45218079999999999</v>
      </c>
      <c r="BF9">
        <v>0.245</v>
      </c>
      <c r="BG9">
        <v>0.19678950000000001</v>
      </c>
      <c r="BH9">
        <v>0.55930000000000002</v>
      </c>
      <c r="BI9">
        <v>0.44367190000000001</v>
      </c>
      <c r="BJ9">
        <v>0.56930000000000003</v>
      </c>
      <c r="BK9">
        <v>0.44117459999999997</v>
      </c>
      <c r="BL9">
        <v>0.31640000000000001</v>
      </c>
      <c r="BN9">
        <v>0.46539999999999998</v>
      </c>
      <c r="BO9">
        <v>0.4193769</v>
      </c>
      <c r="BP9">
        <v>0.44240000000000002</v>
      </c>
      <c r="BQ9">
        <v>0.33032159999999999</v>
      </c>
      <c r="BR9">
        <v>2.6194000000000002</v>
      </c>
      <c r="BS9">
        <v>2.2602712</v>
      </c>
      <c r="BT9">
        <v>1.2232000000000001</v>
      </c>
      <c r="BU9">
        <v>1.0028976000000001</v>
      </c>
      <c r="BV9">
        <v>0.66820000000000002</v>
      </c>
      <c r="BW9">
        <v>0.51527999999999996</v>
      </c>
      <c r="BX9">
        <v>0.86106000000000005</v>
      </c>
      <c r="BY9">
        <v>0.44117459999999997</v>
      </c>
      <c r="BZ9">
        <v>0.92998999999999998</v>
      </c>
      <c r="CA9">
        <v>0.74969850000000005</v>
      </c>
      <c r="CB9">
        <v>0.45990999999999999</v>
      </c>
      <c r="CC9">
        <v>0.35872979999999999</v>
      </c>
      <c r="CD9">
        <v>1.5700934579439301</v>
      </c>
      <c r="CE9">
        <v>990</v>
      </c>
      <c r="CF9">
        <v>990</v>
      </c>
    </row>
    <row r="10" spans="1:85" x14ac:dyDescent="0.3">
      <c r="A10">
        <v>10600</v>
      </c>
      <c r="B10" t="s">
        <v>239</v>
      </c>
      <c r="C10">
        <v>10.6</v>
      </c>
      <c r="D10">
        <v>89.4</v>
      </c>
      <c r="E10">
        <v>12</v>
      </c>
      <c r="F10">
        <v>9.6</v>
      </c>
      <c r="G10">
        <v>1.7</v>
      </c>
      <c r="H10">
        <v>2.3776223776223802</v>
      </c>
      <c r="I10">
        <v>1.139</v>
      </c>
      <c r="J10">
        <v>2.7</v>
      </c>
      <c r="K10">
        <v>6.84</v>
      </c>
      <c r="L10">
        <v>12.8</v>
      </c>
      <c r="M10">
        <v>3.8</v>
      </c>
      <c r="N10">
        <v>1.8</v>
      </c>
      <c r="O10">
        <v>71.2</v>
      </c>
      <c r="P10">
        <v>2.7</v>
      </c>
      <c r="Q10">
        <v>57</v>
      </c>
      <c r="R10">
        <v>59.7</v>
      </c>
      <c r="S10">
        <v>1385.79678585086</v>
      </c>
      <c r="T10">
        <v>3055.1075525812598</v>
      </c>
      <c r="U10">
        <v>3055.1075525812598</v>
      </c>
      <c r="V10">
        <v>3055.1075525812598</v>
      </c>
      <c r="W10">
        <v>3055.1075525812598</v>
      </c>
      <c r="X10">
        <v>5.0040000000000001E-2</v>
      </c>
      <c r="Y10">
        <v>5.0040000000000001E-2</v>
      </c>
      <c r="Z10">
        <v>0.34001999999999999</v>
      </c>
      <c r="AA10">
        <v>0.34001999999999999</v>
      </c>
      <c r="AB10">
        <v>0.11334</v>
      </c>
      <c r="AC10">
        <v>0.10999647</v>
      </c>
      <c r="AD10">
        <v>0.13002364799999999</v>
      </c>
      <c r="AE10">
        <v>0.23002353</v>
      </c>
      <c r="AF10">
        <v>130</v>
      </c>
      <c r="AG10" s="9">
        <v>6.3051702395964498E-2</v>
      </c>
      <c r="AI10">
        <v>0.03</v>
      </c>
      <c r="AJ10">
        <v>0.03</v>
      </c>
      <c r="AK10">
        <v>0.46</v>
      </c>
      <c r="AL10">
        <v>122.23324825290599</v>
      </c>
      <c r="AM10">
        <v>68.513890587328007</v>
      </c>
      <c r="AN10">
        <v>0.38200000000000001</v>
      </c>
      <c r="AO10">
        <v>0.33067200000000002</v>
      </c>
      <c r="AP10">
        <v>0.19400000000000001</v>
      </c>
      <c r="AQ10">
        <v>0.166848</v>
      </c>
      <c r="AR10">
        <v>0.26300000000000001</v>
      </c>
      <c r="AS10">
        <v>0.21362400000000001</v>
      </c>
      <c r="AT10">
        <v>0.45700000000000002</v>
      </c>
      <c r="AU10">
        <v>0.38047199999999998</v>
      </c>
      <c r="AV10">
        <v>0.36199999999999999</v>
      </c>
      <c r="AW10">
        <v>0.311112</v>
      </c>
      <c r="AX10">
        <v>0.124</v>
      </c>
      <c r="AY10">
        <v>0.116928</v>
      </c>
      <c r="AZ10">
        <v>0.40200000000000002</v>
      </c>
      <c r="BA10">
        <v>0.35599199999999998</v>
      </c>
      <c r="BB10">
        <v>0.77500000000000002</v>
      </c>
      <c r="BC10">
        <v>0.65366400000000002</v>
      </c>
      <c r="BD10">
        <v>0.52900000000000003</v>
      </c>
      <c r="BE10">
        <v>0.45407999999999998</v>
      </c>
      <c r="BF10">
        <v>0.27400000000000002</v>
      </c>
      <c r="BG10">
        <v>0.23232</v>
      </c>
      <c r="BH10">
        <v>0.59199999999999997</v>
      </c>
      <c r="BI10">
        <v>0.47527200000000003</v>
      </c>
      <c r="BJ10">
        <v>0.54900000000000004</v>
      </c>
      <c r="BK10">
        <v>0.435504</v>
      </c>
      <c r="BL10">
        <v>0.33600000000000002</v>
      </c>
      <c r="BN10">
        <v>0.52400000000000002</v>
      </c>
      <c r="BO10">
        <v>0.50450399999999995</v>
      </c>
      <c r="BP10">
        <v>0.495</v>
      </c>
      <c r="BQ10">
        <v>0.40540799999999999</v>
      </c>
      <c r="BR10">
        <v>3.1429999999999998</v>
      </c>
      <c r="BS10">
        <v>2.7827760000000001</v>
      </c>
      <c r="BT10">
        <v>1.1719999999999999</v>
      </c>
      <c r="BU10">
        <v>1.038888</v>
      </c>
      <c r="BV10">
        <v>0.70799999999999996</v>
      </c>
      <c r="BW10">
        <v>0.60887999999999998</v>
      </c>
      <c r="BX10">
        <v>0.84240000000000004</v>
      </c>
      <c r="BY10">
        <v>0.435504</v>
      </c>
      <c r="BZ10">
        <v>1.0092000000000001</v>
      </c>
      <c r="CA10">
        <v>0.90991200000000005</v>
      </c>
      <c r="CB10">
        <v>0.45479999999999998</v>
      </c>
      <c r="CC10">
        <v>0.38657999999999998</v>
      </c>
      <c r="CD10">
        <v>1.35524475524476</v>
      </c>
      <c r="CE10">
        <v>462</v>
      </c>
      <c r="CF10">
        <v>462</v>
      </c>
    </row>
    <row r="11" spans="1:85" x14ac:dyDescent="0.3">
      <c r="A11">
        <v>10700</v>
      </c>
      <c r="B11" t="s">
        <v>240</v>
      </c>
      <c r="C11">
        <v>10.32</v>
      </c>
      <c r="D11">
        <v>89.68</v>
      </c>
      <c r="E11">
        <v>13.1</v>
      </c>
      <c r="F11">
        <v>11.004</v>
      </c>
      <c r="G11">
        <v>4.22</v>
      </c>
      <c r="H11">
        <v>6.2058823529411802</v>
      </c>
      <c r="I11">
        <v>3.165</v>
      </c>
      <c r="J11">
        <v>4.1900000000000004</v>
      </c>
      <c r="K11">
        <v>6.84</v>
      </c>
      <c r="L11">
        <v>19.329999999999998</v>
      </c>
      <c r="M11">
        <v>9.33</v>
      </c>
      <c r="N11">
        <v>1.58</v>
      </c>
      <c r="O11">
        <v>66.59</v>
      </c>
      <c r="P11">
        <v>3.2</v>
      </c>
      <c r="Q11">
        <v>63.29</v>
      </c>
      <c r="R11">
        <v>66.489999999999995</v>
      </c>
      <c r="S11">
        <v>1499.1306539197001</v>
      </c>
      <c r="T11">
        <v>3304.9617590822199</v>
      </c>
      <c r="U11">
        <v>3304.9617590822199</v>
      </c>
      <c r="V11">
        <v>3304.9617590822199</v>
      </c>
      <c r="W11">
        <v>3304.9617590822199</v>
      </c>
      <c r="X11">
        <v>2.9862E-2</v>
      </c>
      <c r="Y11">
        <v>2.9862E-2</v>
      </c>
      <c r="Z11">
        <v>0.24995600000000001</v>
      </c>
      <c r="AA11">
        <v>0.24995600000000001</v>
      </c>
      <c r="AB11" s="9">
        <v>8.3318666666666694E-2</v>
      </c>
      <c r="AC11">
        <v>8.3335330400000004E-2</v>
      </c>
      <c r="AD11">
        <v>9.4983280000000003E-2</v>
      </c>
      <c r="AE11">
        <v>0.16662066959999999</v>
      </c>
      <c r="AF11">
        <v>135</v>
      </c>
      <c r="AG11" s="9">
        <v>7.5872215216477495E-2</v>
      </c>
      <c r="AI11">
        <v>0.04</v>
      </c>
      <c r="AJ11">
        <v>0.03</v>
      </c>
      <c r="AK11">
        <v>0.43</v>
      </c>
      <c r="AL11">
        <v>118.912616519579</v>
      </c>
      <c r="AM11">
        <v>128.94656085162401</v>
      </c>
      <c r="AN11">
        <v>0.35899999999999999</v>
      </c>
      <c r="AO11">
        <v>0.34536840000000002</v>
      </c>
      <c r="AP11">
        <v>0.27950000000000003</v>
      </c>
      <c r="AQ11">
        <v>0.26283840000000003</v>
      </c>
      <c r="AR11">
        <v>0.2324</v>
      </c>
      <c r="AS11">
        <v>0.20436000000000001</v>
      </c>
      <c r="AT11">
        <v>0.51190000000000002</v>
      </c>
      <c r="AU11">
        <v>0.46719840000000001</v>
      </c>
      <c r="AV11">
        <v>0.48949999999999999</v>
      </c>
      <c r="AW11">
        <v>0.39928799999999998</v>
      </c>
      <c r="AX11">
        <v>0.24030000000000001</v>
      </c>
      <c r="AY11">
        <v>0.170824</v>
      </c>
      <c r="AZ11">
        <v>0.54959999999999998</v>
      </c>
      <c r="BA11">
        <v>0.44613360000000002</v>
      </c>
      <c r="BB11">
        <v>1.3415999999999999</v>
      </c>
      <c r="BC11">
        <v>1.0830687000000001</v>
      </c>
      <c r="BD11">
        <v>0.70440000000000003</v>
      </c>
      <c r="BE11">
        <v>0.59709800000000002</v>
      </c>
      <c r="BF11">
        <v>0.29399999999999998</v>
      </c>
      <c r="BG11">
        <v>0.2681308</v>
      </c>
      <c r="BH11">
        <v>0.57989999999999997</v>
      </c>
      <c r="BI11">
        <v>0.51294360000000006</v>
      </c>
      <c r="BJ11">
        <v>0.66139999999999999</v>
      </c>
      <c r="BK11">
        <v>0.55648799999999998</v>
      </c>
      <c r="BL11">
        <v>0.36680000000000001</v>
      </c>
      <c r="BN11">
        <v>0.60560000000000003</v>
      </c>
      <c r="BP11">
        <v>0.40600000000000003</v>
      </c>
      <c r="BR11">
        <v>2.5013000000000001</v>
      </c>
      <c r="BT11">
        <v>0.8206</v>
      </c>
      <c r="BV11">
        <v>1.0437000000000001</v>
      </c>
      <c r="BX11">
        <v>0.98512</v>
      </c>
      <c r="BY11">
        <v>0.55648799999999998</v>
      </c>
      <c r="BZ11">
        <v>1.08992</v>
      </c>
      <c r="CB11">
        <v>0.96416000000000002</v>
      </c>
      <c r="CE11">
        <v>440</v>
      </c>
      <c r="CF11">
        <v>440</v>
      </c>
    </row>
    <row r="12" spans="1:85" x14ac:dyDescent="0.3">
      <c r="A12">
        <v>10800</v>
      </c>
      <c r="B12" t="s">
        <v>241</v>
      </c>
      <c r="C12">
        <v>12.8</v>
      </c>
      <c r="D12">
        <v>87.2</v>
      </c>
      <c r="E12">
        <v>8</v>
      </c>
      <c r="F12">
        <v>5.6</v>
      </c>
      <c r="G12">
        <v>1</v>
      </c>
      <c r="H12">
        <v>1.25</v>
      </c>
      <c r="I12">
        <v>0.88</v>
      </c>
      <c r="J12">
        <v>1</v>
      </c>
      <c r="K12">
        <v>6.84</v>
      </c>
      <c r="L12">
        <v>2.5</v>
      </c>
      <c r="M12">
        <v>1.2</v>
      </c>
      <c r="N12">
        <v>1</v>
      </c>
      <c r="O12">
        <v>76.2</v>
      </c>
      <c r="P12">
        <v>1.8</v>
      </c>
      <c r="Q12">
        <v>71.8</v>
      </c>
      <c r="R12">
        <v>73.599999999999994</v>
      </c>
      <c r="S12">
        <v>1630.3233957934999</v>
      </c>
      <c r="T12">
        <v>3594.1873804971301</v>
      </c>
      <c r="U12">
        <v>3594.1873804971301</v>
      </c>
      <c r="V12">
        <v>3594.1873804971301</v>
      </c>
      <c r="W12">
        <v>3594.1873804971301</v>
      </c>
      <c r="X12">
        <v>0.04</v>
      </c>
      <c r="Y12">
        <v>0.04</v>
      </c>
      <c r="Z12">
        <v>0.1</v>
      </c>
      <c r="AA12">
        <v>0.1</v>
      </c>
      <c r="AB12" s="9">
        <v>3.3333333333333298E-2</v>
      </c>
      <c r="AC12">
        <v>0.04</v>
      </c>
      <c r="AD12">
        <v>0.01</v>
      </c>
      <c r="AE12">
        <v>0.06</v>
      </c>
      <c r="AF12">
        <v>120</v>
      </c>
      <c r="AG12">
        <v>0.10865910046238</v>
      </c>
      <c r="AI12">
        <v>0.04</v>
      </c>
      <c r="AJ12">
        <v>7.0000000000000007E-2</v>
      </c>
      <c r="AK12">
        <v>0.13</v>
      </c>
      <c r="AL12">
        <v>30.906700344610002</v>
      </c>
      <c r="AM12">
        <v>77.544665837647003</v>
      </c>
      <c r="AN12">
        <v>0.28000000000000003</v>
      </c>
      <c r="AO12">
        <v>0.2424</v>
      </c>
      <c r="AP12">
        <v>0.20899999999999999</v>
      </c>
      <c r="AQ12">
        <v>0.15720000000000001</v>
      </c>
      <c r="AR12">
        <v>0.183</v>
      </c>
      <c r="AS12">
        <v>0.1512</v>
      </c>
      <c r="AT12">
        <v>0.39200000000000002</v>
      </c>
      <c r="AU12">
        <v>0.30840000000000001</v>
      </c>
      <c r="AV12">
        <v>0.27400000000000002</v>
      </c>
      <c r="AW12">
        <v>0.21504000000000001</v>
      </c>
      <c r="AX12">
        <v>0.10199999999999999</v>
      </c>
      <c r="AY12">
        <v>8.0100000000000005E-2</v>
      </c>
      <c r="AZ12">
        <v>0.312</v>
      </c>
      <c r="BA12">
        <v>0.26554</v>
      </c>
      <c r="BB12">
        <v>0.621</v>
      </c>
      <c r="BC12">
        <v>0.55349040000000005</v>
      </c>
      <c r="BD12">
        <v>0.45200000000000001</v>
      </c>
      <c r="BE12">
        <v>0.37440000000000001</v>
      </c>
      <c r="BF12">
        <v>0.17899999999999999</v>
      </c>
      <c r="BG12">
        <v>0.14960000000000001</v>
      </c>
      <c r="BH12">
        <v>0.67</v>
      </c>
      <c r="BI12">
        <v>0.53959360000000001</v>
      </c>
      <c r="BJ12">
        <v>0.39100000000000001</v>
      </c>
      <c r="BK12">
        <v>0.29520000000000002</v>
      </c>
      <c r="BL12">
        <v>0.38</v>
      </c>
      <c r="BM12">
        <v>0.30248000000000003</v>
      </c>
      <c r="BN12">
        <v>0.373</v>
      </c>
      <c r="BO12">
        <v>0.29589840000000001</v>
      </c>
      <c r="BP12">
        <v>0.34599999999999997</v>
      </c>
      <c r="BQ12">
        <v>0.25631680000000001</v>
      </c>
      <c r="BR12">
        <v>1.34</v>
      </c>
      <c r="BS12">
        <v>0.71367999999999998</v>
      </c>
      <c r="BT12">
        <v>0.35899999999999999</v>
      </c>
      <c r="BU12">
        <v>0.260604</v>
      </c>
      <c r="BV12">
        <v>0.69099999999999995</v>
      </c>
      <c r="BW12">
        <v>0.33088800000000002</v>
      </c>
      <c r="BX12">
        <v>0.78</v>
      </c>
      <c r="BY12">
        <v>0.59767999999999999</v>
      </c>
      <c r="BZ12">
        <v>0.78080000000000005</v>
      </c>
      <c r="CA12">
        <v>0.55221520000000002</v>
      </c>
      <c r="CB12">
        <v>0.46</v>
      </c>
      <c r="CC12">
        <v>0.32751999999999998</v>
      </c>
      <c r="CE12">
        <v>800</v>
      </c>
      <c r="CF12">
        <v>800</v>
      </c>
    </row>
    <row r="13" spans="1:85" x14ac:dyDescent="0.3">
      <c r="A13">
        <v>10900</v>
      </c>
      <c r="B13" t="s">
        <v>242</v>
      </c>
      <c r="C13">
        <v>11.5</v>
      </c>
      <c r="D13">
        <v>88.5</v>
      </c>
      <c r="E13">
        <v>12.9</v>
      </c>
      <c r="F13">
        <v>9.6750000000000007</v>
      </c>
      <c r="G13">
        <v>6.2</v>
      </c>
      <c r="H13">
        <v>6.8888888888888902</v>
      </c>
      <c r="I13">
        <v>4.96</v>
      </c>
      <c r="J13">
        <v>3.4</v>
      </c>
      <c r="K13">
        <v>6.84</v>
      </c>
      <c r="L13">
        <v>18</v>
      </c>
      <c r="M13">
        <v>4.8499999999999996</v>
      </c>
      <c r="N13">
        <v>1.9</v>
      </c>
      <c r="O13">
        <v>64.099999999999994</v>
      </c>
      <c r="P13">
        <v>0.9</v>
      </c>
      <c r="Q13">
        <v>51.4</v>
      </c>
      <c r="R13">
        <v>52.3</v>
      </c>
      <c r="S13">
        <v>1452.79060038241</v>
      </c>
      <c r="T13">
        <v>3202.8011472275298</v>
      </c>
      <c r="U13">
        <v>3202.8011472275298</v>
      </c>
      <c r="V13">
        <v>3202.8011472275298</v>
      </c>
      <c r="W13">
        <v>3202.8011472275298</v>
      </c>
      <c r="X13">
        <v>5.0532399999999998E-2</v>
      </c>
      <c r="Y13">
        <v>5.0532399999999998E-2</v>
      </c>
      <c r="Z13">
        <v>0.32338</v>
      </c>
      <c r="AA13">
        <v>0.32338</v>
      </c>
      <c r="AB13">
        <v>0.10779333333333301</v>
      </c>
      <c r="AC13">
        <v>0.14147874999999999</v>
      </c>
      <c r="AD13">
        <v>0.13617531799999999</v>
      </c>
      <c r="AE13">
        <v>0.18190124999999999</v>
      </c>
      <c r="AF13">
        <v>80</v>
      </c>
      <c r="AG13">
        <v>0.184531315678857</v>
      </c>
      <c r="AI13">
        <v>0.08</v>
      </c>
      <c r="AJ13">
        <v>0.1</v>
      </c>
      <c r="AK13">
        <v>0.42</v>
      </c>
      <c r="AL13">
        <v>114.015521661897</v>
      </c>
      <c r="AM13">
        <v>55.278339217976999</v>
      </c>
      <c r="AN13">
        <v>0.50739999999999996</v>
      </c>
      <c r="AO13">
        <v>0.45789839999999998</v>
      </c>
      <c r="AP13">
        <v>0.20749999999999999</v>
      </c>
      <c r="AQ13">
        <v>0.1840572</v>
      </c>
      <c r="AR13">
        <v>0.3664</v>
      </c>
      <c r="AS13">
        <v>0.31749480000000002</v>
      </c>
      <c r="AT13">
        <v>0.57389999999999997</v>
      </c>
      <c r="AU13">
        <v>0.501552</v>
      </c>
      <c r="AV13">
        <v>0.43169999999999997</v>
      </c>
      <c r="AW13">
        <v>0.36408960000000001</v>
      </c>
      <c r="AX13">
        <v>0.17860000000000001</v>
      </c>
      <c r="AY13">
        <v>0.14654400000000001</v>
      </c>
      <c r="AZ13">
        <v>0.48110000000000003</v>
      </c>
      <c r="BA13">
        <v>0.43053750000000002</v>
      </c>
      <c r="BB13">
        <v>0.9365</v>
      </c>
      <c r="BC13">
        <v>0.86262300000000003</v>
      </c>
      <c r="BD13">
        <v>0.64780000000000004</v>
      </c>
      <c r="BE13">
        <v>0.59370959999999995</v>
      </c>
      <c r="BF13">
        <v>0.28170000000000001</v>
      </c>
      <c r="BG13">
        <v>0.27233190000000002</v>
      </c>
      <c r="BH13">
        <v>0.86170000000000002</v>
      </c>
      <c r="BI13">
        <v>0.82699319999999998</v>
      </c>
      <c r="BJ13">
        <v>0.65639999999999998</v>
      </c>
      <c r="BK13">
        <v>0.62024489999999999</v>
      </c>
      <c r="BL13">
        <v>0.43473000000000001</v>
      </c>
      <c r="BN13">
        <v>0.60419999999999996</v>
      </c>
      <c r="BP13">
        <v>0.62139999999999995</v>
      </c>
      <c r="BR13">
        <v>2.5560999999999998</v>
      </c>
      <c r="BT13">
        <v>0.66800000000000004</v>
      </c>
      <c r="BV13">
        <v>1.0258</v>
      </c>
      <c r="BX13">
        <v>1.1016600000000001</v>
      </c>
      <c r="BY13">
        <v>0.62024489999999999</v>
      </c>
      <c r="BZ13">
        <v>1.2487200000000001</v>
      </c>
      <c r="CB13">
        <v>0.59855999999999998</v>
      </c>
      <c r="CD13">
        <v>2.6866666666666701</v>
      </c>
      <c r="CE13">
        <v>946</v>
      </c>
      <c r="CF13">
        <v>946</v>
      </c>
    </row>
    <row r="14" spans="1:85" x14ac:dyDescent="0.3">
      <c r="A14">
        <v>10910</v>
      </c>
      <c r="B14" t="s">
        <v>243</v>
      </c>
      <c r="C14">
        <v>11.5</v>
      </c>
      <c r="D14">
        <v>88.5</v>
      </c>
      <c r="E14">
        <v>10.5</v>
      </c>
      <c r="F14">
        <v>7.875</v>
      </c>
      <c r="G14">
        <v>5</v>
      </c>
      <c r="H14">
        <v>5.5555555555555598</v>
      </c>
      <c r="I14">
        <v>4</v>
      </c>
      <c r="J14">
        <v>10.199999999999999</v>
      </c>
      <c r="K14">
        <v>6.84</v>
      </c>
      <c r="L14">
        <v>30.5</v>
      </c>
      <c r="M14">
        <v>13</v>
      </c>
      <c r="N14">
        <v>2.5</v>
      </c>
      <c r="O14">
        <v>60.3</v>
      </c>
      <c r="P14">
        <v>1</v>
      </c>
      <c r="Q14">
        <v>40</v>
      </c>
      <c r="R14">
        <v>41</v>
      </c>
      <c r="S14">
        <v>1192.8465774378601</v>
      </c>
      <c r="T14">
        <v>2629.73231357553</v>
      </c>
      <c r="U14">
        <v>2629.73231357553</v>
      </c>
      <c r="V14">
        <v>2629.73231357553</v>
      </c>
      <c r="W14">
        <v>2629.73231357553</v>
      </c>
      <c r="X14">
        <v>6.6489999999999994E-2</v>
      </c>
      <c r="Y14">
        <v>6.6489999999999994E-2</v>
      </c>
      <c r="Z14">
        <v>0.26250000000000001</v>
      </c>
      <c r="AA14">
        <v>0.26250000000000001</v>
      </c>
      <c r="AB14">
        <v>8.7499999999999994E-2</v>
      </c>
      <c r="AC14">
        <v>0.12114374999999999</v>
      </c>
      <c r="AD14">
        <v>0.11053875000000001</v>
      </c>
      <c r="AE14">
        <v>0.14135624999999999</v>
      </c>
      <c r="AF14">
        <v>110</v>
      </c>
      <c r="AG14">
        <v>0.184531315678857</v>
      </c>
      <c r="AI14">
        <v>0.08</v>
      </c>
      <c r="AJ14">
        <v>0.1</v>
      </c>
      <c r="AK14">
        <v>0.42</v>
      </c>
      <c r="AL14">
        <v>114.015521661897</v>
      </c>
      <c r="AM14">
        <v>72.743904737703005</v>
      </c>
      <c r="AN14">
        <v>0.42099999999999999</v>
      </c>
      <c r="AO14">
        <v>0.37088100000000002</v>
      </c>
      <c r="AP14">
        <v>0.17150000000000001</v>
      </c>
      <c r="AQ14">
        <v>0.14798700000000001</v>
      </c>
      <c r="AR14">
        <v>0.30399999999999999</v>
      </c>
      <c r="AS14">
        <v>0.24696000000000001</v>
      </c>
      <c r="AT14">
        <v>0.47549999999999998</v>
      </c>
      <c r="AU14">
        <v>0.39494699999999999</v>
      </c>
      <c r="AV14">
        <v>0.35249999999999998</v>
      </c>
      <c r="AW14">
        <v>0.29194199999999998</v>
      </c>
      <c r="AX14">
        <v>0.14499999999999999</v>
      </c>
      <c r="AY14">
        <v>0.11172</v>
      </c>
      <c r="AZ14">
        <v>0.38750000000000001</v>
      </c>
      <c r="BA14">
        <v>0.34015800000000002</v>
      </c>
      <c r="BB14">
        <v>0.75649999999999995</v>
      </c>
      <c r="BC14">
        <v>0.67189500000000002</v>
      </c>
      <c r="BD14">
        <v>0.52300000000000002</v>
      </c>
      <c r="BE14">
        <v>0.46015200000000001</v>
      </c>
      <c r="BF14">
        <v>0.22650000000000001</v>
      </c>
      <c r="BG14">
        <v>0.210924</v>
      </c>
      <c r="BH14">
        <v>0.6865</v>
      </c>
      <c r="BI14">
        <v>0.64352399999999998</v>
      </c>
      <c r="BJ14">
        <v>0.52200000000000002</v>
      </c>
      <c r="BK14">
        <v>0.48532049999999999</v>
      </c>
      <c r="BL14">
        <v>0.35385</v>
      </c>
      <c r="BN14">
        <v>0.48899999999999999</v>
      </c>
      <c r="BP14">
        <v>0.51100000000000001</v>
      </c>
      <c r="BR14">
        <v>2.0305</v>
      </c>
      <c r="BT14">
        <v>0.54800000000000004</v>
      </c>
      <c r="BV14">
        <v>0.82899999999999996</v>
      </c>
      <c r="BX14">
        <v>0.87570000000000003</v>
      </c>
      <c r="BY14">
        <v>0.48532049999999999</v>
      </c>
      <c r="BZ14">
        <v>0.99119999999999997</v>
      </c>
      <c r="CB14">
        <v>0.48509999999999998</v>
      </c>
      <c r="CD14">
        <v>2.1666666666666701</v>
      </c>
      <c r="CE14">
        <v>946</v>
      </c>
      <c r="CF14">
        <v>946</v>
      </c>
    </row>
    <row r="15" spans="1:85" x14ac:dyDescent="0.3">
      <c r="A15">
        <v>11200</v>
      </c>
      <c r="B15" t="s">
        <v>244</v>
      </c>
      <c r="C15">
        <v>13.2</v>
      </c>
      <c r="D15">
        <v>86.8</v>
      </c>
      <c r="E15">
        <v>7.8</v>
      </c>
      <c r="F15">
        <v>6.5519999999999996</v>
      </c>
      <c r="G15">
        <v>3.6</v>
      </c>
      <c r="H15">
        <v>4.0909090909090899</v>
      </c>
      <c r="I15">
        <v>3.3119999999999998</v>
      </c>
      <c r="J15">
        <v>2.5</v>
      </c>
      <c r="K15">
        <v>6.84</v>
      </c>
      <c r="L15">
        <v>8.1</v>
      </c>
      <c r="M15">
        <v>3</v>
      </c>
      <c r="N15">
        <v>1.3</v>
      </c>
      <c r="O15">
        <v>71.599999999999994</v>
      </c>
      <c r="P15">
        <v>2</v>
      </c>
      <c r="Q15">
        <v>63.5</v>
      </c>
      <c r="R15">
        <v>65.5</v>
      </c>
      <c r="S15">
        <v>1478.7641873805001</v>
      </c>
      <c r="T15">
        <v>3260.0621414913999</v>
      </c>
      <c r="U15">
        <v>3260.0621414913999</v>
      </c>
      <c r="V15">
        <v>3260.0621414913999</v>
      </c>
      <c r="W15">
        <v>3260.0621414913999</v>
      </c>
      <c r="X15">
        <v>2.002E-2</v>
      </c>
      <c r="Y15">
        <v>2.002E-2</v>
      </c>
      <c r="Z15">
        <v>0.27000999999999997</v>
      </c>
      <c r="AA15">
        <v>0.27000999999999997</v>
      </c>
      <c r="AB15" s="9">
        <v>9.0003333333333296E-2</v>
      </c>
      <c r="AC15">
        <v>8.0003962999999997E-2</v>
      </c>
      <c r="AD15">
        <v>8.0003962999999997E-2</v>
      </c>
      <c r="AE15">
        <v>0.19000603699999999</v>
      </c>
      <c r="AF15">
        <v>180</v>
      </c>
      <c r="AG15" s="9">
        <v>6.6624632198402506E-2</v>
      </c>
      <c r="AI15">
        <v>0.02</v>
      </c>
      <c r="AJ15">
        <v>0.05</v>
      </c>
      <c r="AK15">
        <v>0.33</v>
      </c>
      <c r="AL15">
        <v>78.993507955727594</v>
      </c>
      <c r="AM15">
        <v>60.105254398779003</v>
      </c>
      <c r="AN15">
        <v>0.24024000000000001</v>
      </c>
      <c r="AO15">
        <v>0.21141119999999999</v>
      </c>
      <c r="AP15">
        <v>0.15989999999999999</v>
      </c>
      <c r="AQ15">
        <v>0.150306</v>
      </c>
      <c r="AR15">
        <v>0.17810000000000001</v>
      </c>
      <c r="AS15">
        <v>0.15132780000000001</v>
      </c>
      <c r="AT15">
        <v>0.33800000000000002</v>
      </c>
      <c r="AU15">
        <v>0.30163380000000001</v>
      </c>
      <c r="AV15">
        <v>0.27779999999999999</v>
      </c>
      <c r="AW15">
        <v>0.23880480000000001</v>
      </c>
      <c r="AX15">
        <v>6.0839999999999998E-2</v>
      </c>
      <c r="AY15">
        <v>5.2322399999999998E-2</v>
      </c>
      <c r="AZ15">
        <v>0.26400000000000001</v>
      </c>
      <c r="BA15">
        <v>0.25534079999999998</v>
      </c>
      <c r="BB15">
        <v>0.93220000000000003</v>
      </c>
      <c r="BC15">
        <v>0.84246239999999994</v>
      </c>
      <c r="BD15">
        <v>0.36359999999999998</v>
      </c>
      <c r="BE15">
        <v>0.34311419999999998</v>
      </c>
      <c r="BF15">
        <v>0.22320000000000001</v>
      </c>
      <c r="BG15">
        <v>0.21414900000000001</v>
      </c>
      <c r="BH15">
        <v>0.36919999999999997</v>
      </c>
      <c r="BI15">
        <v>0.32974500000000001</v>
      </c>
      <c r="BJ15">
        <v>0.37440000000000001</v>
      </c>
      <c r="BK15">
        <v>0.34157759999999998</v>
      </c>
      <c r="BL15">
        <v>0.25896000000000002</v>
      </c>
      <c r="BM15">
        <v>0.20716799999999999</v>
      </c>
      <c r="BN15">
        <v>0.37540000000000001</v>
      </c>
      <c r="BO15">
        <v>0.36309000000000002</v>
      </c>
      <c r="BP15">
        <v>0.30399999999999999</v>
      </c>
      <c r="BQ15">
        <v>0.25880399999999998</v>
      </c>
      <c r="BR15">
        <v>1.4037999999999999</v>
      </c>
      <c r="BS15">
        <v>1.3535573999999999</v>
      </c>
      <c r="BT15">
        <v>0.69320000000000004</v>
      </c>
      <c r="BU15">
        <v>0.64521600000000001</v>
      </c>
      <c r="BV15">
        <v>0.51300000000000001</v>
      </c>
      <c r="BW15">
        <v>0.45700200000000002</v>
      </c>
      <c r="BX15">
        <v>0.63024000000000002</v>
      </c>
      <c r="BY15">
        <v>0.54874559999999994</v>
      </c>
      <c r="BZ15">
        <v>0.67859999999999998</v>
      </c>
      <c r="CA15">
        <v>0.62189399999999995</v>
      </c>
      <c r="CB15">
        <v>0.56706000000000001</v>
      </c>
      <c r="CC15">
        <v>0.52169520000000003</v>
      </c>
      <c r="CD15">
        <v>2.2909090909090901</v>
      </c>
      <c r="CE15">
        <v>620</v>
      </c>
      <c r="CF15">
        <v>620</v>
      </c>
    </row>
    <row r="16" spans="1:85" x14ac:dyDescent="0.3">
      <c r="A16">
        <v>11210</v>
      </c>
      <c r="B16" t="s">
        <v>245</v>
      </c>
      <c r="C16">
        <v>3.5</v>
      </c>
      <c r="D16">
        <v>96.5</v>
      </c>
      <c r="E16">
        <v>0.3</v>
      </c>
      <c r="F16">
        <v>0.252</v>
      </c>
      <c r="K16">
        <v>6.84</v>
      </c>
      <c r="N16">
        <v>0.2</v>
      </c>
      <c r="O16">
        <v>96</v>
      </c>
      <c r="Q16">
        <v>97.5</v>
      </c>
      <c r="R16">
        <v>97.5</v>
      </c>
      <c r="AF16">
        <v>90</v>
      </c>
      <c r="AN16">
        <v>9.2399999999999999E-3</v>
      </c>
      <c r="AO16">
        <v>8.1311999999999999E-3</v>
      </c>
      <c r="AP16">
        <v>6.1500000000000001E-3</v>
      </c>
      <c r="AQ16">
        <v>5.7809999999999997E-3</v>
      </c>
      <c r="AR16">
        <v>0.10685</v>
      </c>
      <c r="AS16">
        <v>5.8202999999999996E-3</v>
      </c>
      <c r="AT16">
        <v>0.113</v>
      </c>
      <c r="AU16">
        <v>1.16013E-2</v>
      </c>
      <c r="AV16">
        <v>4.53E-2</v>
      </c>
      <c r="AW16">
        <v>9.1847999999999999E-3</v>
      </c>
      <c r="AX16">
        <v>2.3400000000000001E-3</v>
      </c>
      <c r="AY16">
        <v>2.0124000000000001E-3</v>
      </c>
      <c r="AZ16">
        <v>1.5E-3</v>
      </c>
      <c r="BA16">
        <v>9.8207999999999993E-3</v>
      </c>
      <c r="BC16">
        <v>3.2402399999999998E-2</v>
      </c>
      <c r="BD16">
        <v>4.8599999999999997E-2</v>
      </c>
      <c r="BE16">
        <v>1.31967E-2</v>
      </c>
      <c r="BF16">
        <v>4.3200000000000002E-2</v>
      </c>
      <c r="BG16">
        <v>8.2365000000000008E-3</v>
      </c>
      <c r="BH16">
        <v>0.1142</v>
      </c>
      <c r="BI16">
        <v>1.2682499999999999E-2</v>
      </c>
      <c r="BK16">
        <v>1.3137599999999999E-2</v>
      </c>
      <c r="BL16">
        <v>9.9600000000000001E-3</v>
      </c>
      <c r="BM16">
        <v>7.9679999999999994E-3</v>
      </c>
      <c r="BN16">
        <v>1.54E-2</v>
      </c>
      <c r="BO16">
        <v>1.3965E-2</v>
      </c>
      <c r="BP16">
        <v>0.11650000000000001</v>
      </c>
      <c r="BQ16">
        <v>9.9539999999999993E-3</v>
      </c>
      <c r="BS16">
        <v>5.2059899999999999E-2</v>
      </c>
      <c r="BT16">
        <v>2.5700000000000001E-2</v>
      </c>
      <c r="BU16">
        <v>2.4816000000000001E-2</v>
      </c>
      <c r="BV16">
        <v>0.10050000000000001</v>
      </c>
      <c r="BW16">
        <v>1.7576999999999999E-2</v>
      </c>
      <c r="BX16">
        <v>2.4240000000000001E-2</v>
      </c>
      <c r="BY16">
        <v>2.1105599999999999E-2</v>
      </c>
      <c r="BZ16">
        <v>2.6100000000000002E-2</v>
      </c>
      <c r="CA16">
        <v>2.3918999999999999E-2</v>
      </c>
      <c r="CB16">
        <v>2.181E-2</v>
      </c>
      <c r="CC16">
        <v>2.0065199999999998E-2</v>
      </c>
      <c r="CE16">
        <v>3.9</v>
      </c>
      <c r="CF16">
        <v>3.9</v>
      </c>
    </row>
    <row r="17" spans="1:84" x14ac:dyDescent="0.3">
      <c r="A17">
        <v>11800</v>
      </c>
      <c r="B17" t="s">
        <v>246</v>
      </c>
      <c r="C17">
        <v>12.8</v>
      </c>
      <c r="D17">
        <v>87.2</v>
      </c>
      <c r="E17">
        <v>7.5</v>
      </c>
      <c r="F17">
        <v>5.25</v>
      </c>
      <c r="G17">
        <v>1</v>
      </c>
      <c r="H17">
        <v>1.25</v>
      </c>
      <c r="I17">
        <v>0.9</v>
      </c>
      <c r="J17">
        <v>1</v>
      </c>
      <c r="K17">
        <v>6.84</v>
      </c>
      <c r="L17">
        <v>2.5</v>
      </c>
      <c r="M17">
        <v>1.2</v>
      </c>
      <c r="N17">
        <v>1</v>
      </c>
      <c r="O17">
        <v>76.7</v>
      </c>
      <c r="P17">
        <v>1.8</v>
      </c>
      <c r="Q17">
        <v>71.8</v>
      </c>
      <c r="R17">
        <v>73.599999999999994</v>
      </c>
      <c r="S17">
        <v>1646.0974875717</v>
      </c>
      <c r="T17">
        <v>3628.96271510516</v>
      </c>
      <c r="U17">
        <v>3628.96271510516</v>
      </c>
      <c r="V17">
        <v>3628.96271510516</v>
      </c>
      <c r="W17">
        <v>3628.96271510516</v>
      </c>
      <c r="X17">
        <v>0.04</v>
      </c>
      <c r="Y17">
        <v>0.04</v>
      </c>
      <c r="Z17">
        <v>0.1</v>
      </c>
      <c r="AA17">
        <v>0.1</v>
      </c>
      <c r="AB17" s="9">
        <v>3.3333333333333298E-2</v>
      </c>
      <c r="AC17">
        <v>0.04</v>
      </c>
      <c r="AD17">
        <v>0.01</v>
      </c>
      <c r="AE17">
        <v>0.06</v>
      </c>
      <c r="AF17">
        <v>150</v>
      </c>
      <c r="AG17">
        <v>0.10865910046238</v>
      </c>
      <c r="AI17">
        <v>0.04</v>
      </c>
      <c r="AJ17">
        <v>7.0000000000000007E-2</v>
      </c>
      <c r="AK17">
        <v>0.13</v>
      </c>
      <c r="AL17">
        <v>30.906700344610002</v>
      </c>
      <c r="AM17">
        <v>77.544665837647003</v>
      </c>
      <c r="AN17">
        <v>0.26550000000000001</v>
      </c>
      <c r="AO17">
        <v>0.21240000000000001</v>
      </c>
      <c r="AP17">
        <v>0.19575000000000001</v>
      </c>
      <c r="AQ17">
        <v>0.1703025</v>
      </c>
      <c r="AR17">
        <v>0.16875000000000001</v>
      </c>
      <c r="AS17">
        <v>0.14174999999999999</v>
      </c>
      <c r="AT17">
        <v>0.36449999999999999</v>
      </c>
      <c r="AU17">
        <v>0.31205250000000001</v>
      </c>
      <c r="AV17">
        <v>0.25424999999999998</v>
      </c>
      <c r="AW17">
        <v>0.2059425</v>
      </c>
      <c r="AX17">
        <v>9.8250000000000004E-2</v>
      </c>
      <c r="AY17">
        <v>8.4495000000000001E-2</v>
      </c>
      <c r="AZ17">
        <v>0.29475000000000001</v>
      </c>
      <c r="BA17">
        <v>0.25348500000000002</v>
      </c>
      <c r="BB17">
        <v>0.58499999999999996</v>
      </c>
      <c r="BC17">
        <v>0.50309999999999999</v>
      </c>
      <c r="BD17">
        <v>0.42225000000000001</v>
      </c>
      <c r="BE17">
        <v>0.35891250000000002</v>
      </c>
      <c r="BF17">
        <v>0.17175000000000001</v>
      </c>
      <c r="BG17">
        <v>0.15457499999999999</v>
      </c>
      <c r="BH17">
        <v>0.57525000000000004</v>
      </c>
      <c r="BI17">
        <v>0.52347750000000004</v>
      </c>
      <c r="BJ17">
        <v>0.36375000000000002</v>
      </c>
      <c r="BK17">
        <v>0.30554999999999999</v>
      </c>
      <c r="BL17">
        <v>0.21</v>
      </c>
      <c r="BN17">
        <v>0.35249999999999998</v>
      </c>
      <c r="BP17">
        <v>0.32324999999999998</v>
      </c>
      <c r="BR17">
        <v>1.2585</v>
      </c>
      <c r="BT17">
        <v>0.33524999999999999</v>
      </c>
      <c r="BV17">
        <v>0.64724999999999999</v>
      </c>
      <c r="BX17">
        <v>0.57374999999999998</v>
      </c>
      <c r="BY17">
        <v>0.30554999999999999</v>
      </c>
      <c r="BZ17">
        <v>0.67574999999999996</v>
      </c>
      <c r="CB17">
        <v>0.40949999999999998</v>
      </c>
      <c r="CD17">
        <v>0.46250000000000002</v>
      </c>
      <c r="CE17">
        <v>800</v>
      </c>
      <c r="CF17">
        <v>800</v>
      </c>
    </row>
    <row r="18" spans="1:84" x14ac:dyDescent="0.3">
      <c r="A18">
        <v>20000</v>
      </c>
      <c r="B18" t="s">
        <v>247</v>
      </c>
      <c r="C18">
        <v>9.4</v>
      </c>
      <c r="D18">
        <v>90.6</v>
      </c>
      <c r="E18">
        <v>36.299999999999997</v>
      </c>
      <c r="F18">
        <v>32.67</v>
      </c>
      <c r="G18">
        <v>19.8</v>
      </c>
      <c r="H18">
        <v>21.063829787233999</v>
      </c>
      <c r="I18">
        <v>18.809999999999999</v>
      </c>
      <c r="J18">
        <v>5.3</v>
      </c>
      <c r="K18">
        <v>6.84</v>
      </c>
      <c r="L18">
        <v>12</v>
      </c>
      <c r="M18">
        <v>6.3</v>
      </c>
      <c r="N18">
        <v>4.9000000000000004</v>
      </c>
      <c r="O18">
        <v>24.3</v>
      </c>
      <c r="P18">
        <v>6.5</v>
      </c>
      <c r="Q18">
        <v>0.4</v>
      </c>
      <c r="R18">
        <v>6.9</v>
      </c>
      <c r="S18">
        <v>1623.0115892925401</v>
      </c>
      <c r="T18">
        <v>3578.0678776290601</v>
      </c>
      <c r="U18">
        <v>3578.0678776290601</v>
      </c>
      <c r="V18">
        <v>3578.0678776290601</v>
      </c>
      <c r="W18">
        <v>3578.0678776290601</v>
      </c>
      <c r="X18">
        <v>0.24990000000000001</v>
      </c>
      <c r="Y18">
        <v>0.24990000000000001</v>
      </c>
      <c r="Z18">
        <v>0.56006999999999996</v>
      </c>
      <c r="AA18">
        <v>0.56006999999999996</v>
      </c>
      <c r="AB18">
        <v>0.18668999999999999</v>
      </c>
      <c r="AC18">
        <v>0.18000649799999999</v>
      </c>
      <c r="AD18">
        <v>0.24004600200000001</v>
      </c>
      <c r="AE18">
        <v>0.380063502</v>
      </c>
      <c r="AF18">
        <v>470</v>
      </c>
      <c r="AG18" s="9">
        <v>6.3051702395964498E-2</v>
      </c>
      <c r="AI18">
        <v>0.03</v>
      </c>
      <c r="AJ18">
        <v>0.03</v>
      </c>
      <c r="AK18">
        <v>1.45</v>
      </c>
      <c r="AL18">
        <v>375.417228611967</v>
      </c>
      <c r="AM18">
        <v>413.354649642531</v>
      </c>
      <c r="AN18">
        <v>2.2467000000000001</v>
      </c>
      <c r="AO18">
        <v>1.8425153999999999</v>
      </c>
      <c r="AP18">
        <v>0.49004999999999999</v>
      </c>
      <c r="AQ18">
        <v>0.40674149999999998</v>
      </c>
      <c r="AR18">
        <v>0.55901999999999996</v>
      </c>
      <c r="AS18">
        <v>0.3577728</v>
      </c>
      <c r="AT18">
        <v>1.0490699999999999</v>
      </c>
      <c r="AU18">
        <v>0.76451429999999998</v>
      </c>
      <c r="AV18">
        <v>1.3987000000000001</v>
      </c>
      <c r="AW18">
        <v>1.0786907999999999</v>
      </c>
      <c r="AX18">
        <v>0.48870000000000002</v>
      </c>
      <c r="AY18">
        <v>0.42046289999999997</v>
      </c>
      <c r="AZ18">
        <v>1.6469</v>
      </c>
      <c r="BA18">
        <v>1.3054931999999999</v>
      </c>
      <c r="BB18">
        <v>2.7515999999999998</v>
      </c>
      <c r="BC18">
        <v>2.1605759999999998</v>
      </c>
      <c r="BD18">
        <v>1.7162999999999999</v>
      </c>
      <c r="BE18">
        <v>1.3506867</v>
      </c>
      <c r="BF18">
        <v>0.93659999999999999</v>
      </c>
      <c r="BG18">
        <v>0.77986920000000004</v>
      </c>
      <c r="BH18">
        <v>2.6751999999999998</v>
      </c>
      <c r="BI18">
        <v>0.43603560000000002</v>
      </c>
      <c r="BJ18">
        <v>1.8209</v>
      </c>
      <c r="BK18">
        <v>1.4432879999999999</v>
      </c>
      <c r="BL18">
        <v>1.39029</v>
      </c>
      <c r="BN18">
        <v>1.8293999999999999</v>
      </c>
      <c r="BO18">
        <v>1.4972297999999999</v>
      </c>
      <c r="BP18">
        <v>1.5398000000000001</v>
      </c>
      <c r="BQ18">
        <v>1.1209077000000001</v>
      </c>
      <c r="BR18">
        <v>6.4855</v>
      </c>
      <c r="BS18">
        <v>5.4214776000000002</v>
      </c>
      <c r="BT18">
        <v>1.81863</v>
      </c>
      <c r="BU18">
        <v>1.4185314</v>
      </c>
      <c r="BV18">
        <v>4.141</v>
      </c>
      <c r="BW18">
        <v>3.1909877999999998</v>
      </c>
      <c r="BX18">
        <v>3.1943999999999999</v>
      </c>
      <c r="BY18">
        <v>1.4432879999999999</v>
      </c>
      <c r="BZ18">
        <v>3.36138</v>
      </c>
      <c r="CA18">
        <v>2.6181375</v>
      </c>
      <c r="CB18">
        <v>1.5790500000000001</v>
      </c>
      <c r="CC18">
        <v>1.2158685</v>
      </c>
      <c r="CD18">
        <v>11.3744680851064</v>
      </c>
      <c r="CE18">
        <v>2860</v>
      </c>
      <c r="CF18">
        <v>2860</v>
      </c>
    </row>
    <row r="19" spans="1:84" x14ac:dyDescent="0.3">
      <c r="A19">
        <v>20050</v>
      </c>
      <c r="B19" t="s">
        <v>248</v>
      </c>
      <c r="C19">
        <v>9.6</v>
      </c>
      <c r="D19">
        <v>90.4</v>
      </c>
      <c r="E19">
        <v>37.299999999999997</v>
      </c>
      <c r="F19">
        <v>31.704999999999998</v>
      </c>
      <c r="G19">
        <v>20</v>
      </c>
      <c r="H19">
        <v>21.2765957446809</v>
      </c>
      <c r="I19">
        <v>18</v>
      </c>
      <c r="J19">
        <v>4.0999999999999996</v>
      </c>
      <c r="K19">
        <v>6.84</v>
      </c>
      <c r="L19">
        <v>9.6999999999999993</v>
      </c>
      <c r="M19">
        <v>4.9000000000000004</v>
      </c>
      <c r="N19">
        <v>5</v>
      </c>
      <c r="O19">
        <v>24</v>
      </c>
      <c r="P19">
        <v>6.6</v>
      </c>
      <c r="Q19">
        <v>0.4</v>
      </c>
      <c r="R19">
        <v>7</v>
      </c>
      <c r="S19">
        <v>1543.5246940726599</v>
      </c>
      <c r="T19">
        <v>3402.8322179732299</v>
      </c>
      <c r="U19">
        <v>3402.8322179732299</v>
      </c>
      <c r="V19">
        <v>3402.8322179732299</v>
      </c>
      <c r="W19">
        <v>3402.8322179732299</v>
      </c>
      <c r="X19">
        <v>0.255</v>
      </c>
      <c r="Y19">
        <v>0.255</v>
      </c>
      <c r="Z19">
        <v>0.57150000000000001</v>
      </c>
      <c r="AA19">
        <v>0.57150000000000001</v>
      </c>
      <c r="AB19">
        <v>0.1905</v>
      </c>
      <c r="AC19">
        <v>0.18368010000000001</v>
      </c>
      <c r="AD19">
        <v>0.24494489999999999</v>
      </c>
      <c r="AE19">
        <v>0.3878199</v>
      </c>
      <c r="AF19">
        <v>470</v>
      </c>
      <c r="AG19" s="9">
        <v>6.3051702395964498E-2</v>
      </c>
      <c r="AI19">
        <v>0.03</v>
      </c>
      <c r="AJ19">
        <v>0.03</v>
      </c>
      <c r="AK19">
        <v>1.45</v>
      </c>
      <c r="AL19">
        <v>375.417228611967</v>
      </c>
      <c r="AM19">
        <v>413.19260118020901</v>
      </c>
      <c r="AN19">
        <v>2.2957000000000001</v>
      </c>
      <c r="AO19">
        <v>1.8932734</v>
      </c>
      <c r="AP19">
        <v>0.50355000000000005</v>
      </c>
      <c r="AQ19">
        <v>0.4179465</v>
      </c>
      <c r="AR19">
        <v>0.57442000000000004</v>
      </c>
      <c r="AS19">
        <v>0.36762879999999998</v>
      </c>
      <c r="AT19">
        <v>1.0779700000000001</v>
      </c>
      <c r="AU19">
        <v>0.78557529999999998</v>
      </c>
      <c r="AV19">
        <v>1.4277</v>
      </c>
      <c r="AW19">
        <v>1.1084068</v>
      </c>
      <c r="AX19">
        <v>0.49769999999999998</v>
      </c>
      <c r="AY19">
        <v>0.43204589999999998</v>
      </c>
      <c r="AZ19">
        <v>1.6899</v>
      </c>
      <c r="BA19">
        <v>1.329372</v>
      </c>
      <c r="BB19">
        <v>2.8235999999999999</v>
      </c>
      <c r="BC19">
        <v>2.2200959999999998</v>
      </c>
      <c r="BD19">
        <v>1.7573000000000001</v>
      </c>
      <c r="BE19">
        <v>1.3878957000000001</v>
      </c>
      <c r="BF19">
        <v>0.95860000000000001</v>
      </c>
      <c r="BG19">
        <v>0.80135319999999999</v>
      </c>
      <c r="BH19">
        <v>2.7591999999999999</v>
      </c>
      <c r="BI19">
        <v>0.44804759999999999</v>
      </c>
      <c r="BJ19">
        <v>1.8738999999999999</v>
      </c>
      <c r="BK19">
        <v>1.4830479999999999</v>
      </c>
      <c r="BL19">
        <v>1.42859</v>
      </c>
      <c r="BN19">
        <v>1.8774</v>
      </c>
      <c r="BO19">
        <v>1.5384758000000001</v>
      </c>
      <c r="BP19">
        <v>1.5758000000000001</v>
      </c>
      <c r="BQ19">
        <v>1.1517866999999999</v>
      </c>
      <c r="BR19">
        <v>6.6805000000000003</v>
      </c>
      <c r="BS19">
        <v>5.5708295999999997</v>
      </c>
      <c r="BT19">
        <v>1.86873</v>
      </c>
      <c r="BU19">
        <v>1.4576093999999999</v>
      </c>
      <c r="BV19">
        <v>4.2610000000000001</v>
      </c>
      <c r="BW19">
        <v>3.2788938000000001</v>
      </c>
      <c r="BX19">
        <v>3.2824</v>
      </c>
      <c r="BY19">
        <v>1.4830479999999999</v>
      </c>
      <c r="BZ19">
        <v>3.4539800000000001</v>
      </c>
      <c r="CA19">
        <v>2.6902624999999998</v>
      </c>
      <c r="CB19">
        <v>1.6225499999999999</v>
      </c>
      <c r="CC19">
        <v>1.2493635000000001</v>
      </c>
      <c r="CD19">
        <v>11.489361702127701</v>
      </c>
      <c r="CE19">
        <v>1985</v>
      </c>
      <c r="CF19">
        <v>1985</v>
      </c>
    </row>
    <row r="20" spans="1:84" x14ac:dyDescent="0.3">
      <c r="A20">
        <v>20100</v>
      </c>
      <c r="B20" t="s">
        <v>249</v>
      </c>
      <c r="C20">
        <v>9.4</v>
      </c>
      <c r="D20">
        <v>90.6</v>
      </c>
      <c r="E20">
        <v>36.299999999999997</v>
      </c>
      <c r="F20">
        <v>30.855</v>
      </c>
      <c r="G20">
        <v>19.8</v>
      </c>
      <c r="H20">
        <v>21.063829787233999</v>
      </c>
      <c r="I20">
        <v>16.434000000000001</v>
      </c>
      <c r="J20">
        <v>5.3</v>
      </c>
      <c r="K20">
        <v>6.84</v>
      </c>
      <c r="L20">
        <v>12</v>
      </c>
      <c r="M20">
        <v>6.3</v>
      </c>
      <c r="N20">
        <v>4.9000000000000004</v>
      </c>
      <c r="O20">
        <v>24.3</v>
      </c>
      <c r="P20">
        <v>6.5</v>
      </c>
      <c r="Q20">
        <v>0.4</v>
      </c>
      <c r="R20">
        <v>6.9</v>
      </c>
      <c r="S20">
        <v>1522.53615372849</v>
      </c>
      <c r="T20">
        <v>3356.5611854684498</v>
      </c>
      <c r="U20">
        <v>3356.5611854684498</v>
      </c>
      <c r="V20">
        <v>3356.5611854684498</v>
      </c>
      <c r="W20">
        <v>3356.5611854684498</v>
      </c>
      <c r="X20">
        <v>0.24990000000000001</v>
      </c>
      <c r="Y20">
        <v>0.24990000000000001</v>
      </c>
      <c r="Z20">
        <v>0.56006999999999996</v>
      </c>
      <c r="AA20">
        <v>0.56006999999999996</v>
      </c>
      <c r="AB20">
        <v>0.18668999999999999</v>
      </c>
      <c r="AC20">
        <v>0.18000649799999999</v>
      </c>
      <c r="AD20">
        <v>0.24004600200000001</v>
      </c>
      <c r="AE20">
        <v>0.380063502</v>
      </c>
      <c r="AF20">
        <v>470</v>
      </c>
      <c r="AG20" s="9">
        <v>6.3051702395964498E-2</v>
      </c>
      <c r="AI20">
        <v>0.03</v>
      </c>
      <c r="AJ20">
        <v>0.03</v>
      </c>
      <c r="AK20">
        <v>1.45</v>
      </c>
      <c r="AL20">
        <v>375.417228611967</v>
      </c>
      <c r="AM20">
        <v>413.354649642531</v>
      </c>
      <c r="AN20">
        <v>2.2467000000000001</v>
      </c>
      <c r="AO20">
        <v>1.8425153999999999</v>
      </c>
      <c r="AP20">
        <v>0.49004999999999999</v>
      </c>
      <c r="AQ20">
        <v>0.40674149999999998</v>
      </c>
      <c r="AR20">
        <v>0.55901999999999996</v>
      </c>
      <c r="AS20">
        <v>0.3577728</v>
      </c>
      <c r="AT20">
        <v>1.0490699999999999</v>
      </c>
      <c r="AU20">
        <v>0.76451429999999998</v>
      </c>
      <c r="AV20">
        <v>1.3987000000000001</v>
      </c>
      <c r="AW20">
        <v>1.0786907999999999</v>
      </c>
      <c r="AX20">
        <v>0.48870000000000002</v>
      </c>
      <c r="AY20">
        <v>0.42046289999999997</v>
      </c>
      <c r="AZ20">
        <v>1.6469</v>
      </c>
      <c r="BA20">
        <v>1.2937320000000001</v>
      </c>
      <c r="BB20">
        <v>2.7515999999999998</v>
      </c>
      <c r="BC20">
        <v>2.1605759999999998</v>
      </c>
      <c r="BD20">
        <v>1.7162999999999999</v>
      </c>
      <c r="BE20">
        <v>1.3506867</v>
      </c>
      <c r="BF20">
        <v>0.93659999999999999</v>
      </c>
      <c r="BG20">
        <v>0.77986920000000004</v>
      </c>
      <c r="BH20">
        <v>2.6751999999999998</v>
      </c>
      <c r="BI20">
        <v>0.43603560000000002</v>
      </c>
      <c r="BJ20">
        <v>1.8209</v>
      </c>
      <c r="BK20">
        <v>1.4432879999999999</v>
      </c>
      <c r="BL20">
        <v>1.39029</v>
      </c>
      <c r="BN20">
        <v>1.8293999999999999</v>
      </c>
      <c r="BO20">
        <v>1.4972297999999999</v>
      </c>
      <c r="BP20">
        <v>1.5398000000000001</v>
      </c>
      <c r="BQ20">
        <v>1.1209077000000001</v>
      </c>
      <c r="BR20">
        <v>6.4855</v>
      </c>
      <c r="BS20">
        <v>5.4214776000000002</v>
      </c>
      <c r="BT20">
        <v>1.81863</v>
      </c>
      <c r="BU20">
        <v>1.4185314</v>
      </c>
      <c r="BV20">
        <v>4.141</v>
      </c>
      <c r="BW20">
        <v>3.1909877999999998</v>
      </c>
      <c r="BX20">
        <v>3.1943999999999999</v>
      </c>
      <c r="BY20">
        <v>1.4432879999999999</v>
      </c>
      <c r="BZ20">
        <v>3.36138</v>
      </c>
      <c r="CA20">
        <v>2.6181375</v>
      </c>
      <c r="CB20">
        <v>1.5790500000000001</v>
      </c>
      <c r="CC20">
        <v>1.2158685</v>
      </c>
      <c r="CD20">
        <v>0.84255319148936003</v>
      </c>
      <c r="CE20">
        <v>2860</v>
      </c>
      <c r="CF20">
        <v>2860</v>
      </c>
    </row>
    <row r="21" spans="1:84" x14ac:dyDescent="0.3">
      <c r="A21">
        <v>20150</v>
      </c>
      <c r="B21" t="s">
        <v>250</v>
      </c>
      <c r="C21">
        <v>8.8000000000000007</v>
      </c>
      <c r="D21">
        <v>91.2</v>
      </c>
      <c r="E21">
        <v>19</v>
      </c>
      <c r="F21">
        <v>13.3</v>
      </c>
      <c r="G21">
        <v>40.700000000000003</v>
      </c>
      <c r="H21">
        <v>42.3958333333333</v>
      </c>
      <c r="I21">
        <v>30.524999999999999</v>
      </c>
      <c r="J21">
        <v>9.3000000000000007</v>
      </c>
      <c r="K21">
        <v>6.84</v>
      </c>
      <c r="L21">
        <v>17</v>
      </c>
      <c r="M21">
        <v>12.7</v>
      </c>
      <c r="N21">
        <v>4</v>
      </c>
      <c r="O21">
        <v>18.2</v>
      </c>
      <c r="P21">
        <v>4</v>
      </c>
      <c r="R21">
        <v>4</v>
      </c>
      <c r="S21">
        <v>2014.0698630975101</v>
      </c>
      <c r="T21">
        <v>4440.1892925430202</v>
      </c>
      <c r="U21">
        <v>4440.1892925430202</v>
      </c>
      <c r="V21">
        <v>4440.1892925430202</v>
      </c>
      <c r="W21">
        <v>4440.1892925430202</v>
      </c>
      <c r="X21">
        <v>0.25</v>
      </c>
      <c r="Y21">
        <v>0.25</v>
      </c>
      <c r="Z21">
        <v>0.50839999999999996</v>
      </c>
      <c r="AA21">
        <v>0.50839999999999996</v>
      </c>
      <c r="AB21">
        <v>0.16946666666666699</v>
      </c>
      <c r="AC21">
        <v>0.1583666</v>
      </c>
      <c r="AD21">
        <v>0.12501556</v>
      </c>
      <c r="AE21">
        <v>0.35003339999999999</v>
      </c>
      <c r="AF21">
        <v>350</v>
      </c>
      <c r="AG21">
        <v>8.7641866330391005E-2</v>
      </c>
      <c r="AI21">
        <v>0.03</v>
      </c>
      <c r="AJ21">
        <v>0.06</v>
      </c>
      <c r="AK21">
        <v>0.79</v>
      </c>
      <c r="AL21">
        <v>198.165284959335</v>
      </c>
      <c r="AM21">
        <v>377.52589563763598</v>
      </c>
      <c r="AN21">
        <v>1.1339999999999999</v>
      </c>
      <c r="AO21">
        <v>0.91959999999999997</v>
      </c>
      <c r="AP21">
        <v>0.40110000000000001</v>
      </c>
      <c r="AQ21">
        <v>0.341582</v>
      </c>
      <c r="AR21">
        <v>0.46889999999999998</v>
      </c>
      <c r="AS21">
        <v>0.348688</v>
      </c>
      <c r="AT21">
        <v>0.87</v>
      </c>
      <c r="AU21">
        <v>0.69027000000000005</v>
      </c>
      <c r="AV21">
        <v>0.81699999999999995</v>
      </c>
      <c r="AW21">
        <v>0.66879999999999995</v>
      </c>
      <c r="AX21">
        <v>0.26500000000000001</v>
      </c>
      <c r="AY21">
        <v>0.216999</v>
      </c>
      <c r="AZ21">
        <v>0.749</v>
      </c>
      <c r="BA21">
        <v>0.63237699999999997</v>
      </c>
      <c r="BB21">
        <v>1.3089999999999999</v>
      </c>
      <c r="BC21">
        <v>1.1571</v>
      </c>
      <c r="BD21">
        <v>0.84760000000000002</v>
      </c>
      <c r="BE21">
        <v>0.816886</v>
      </c>
      <c r="BF21">
        <v>0.52</v>
      </c>
      <c r="BG21">
        <v>0.447716</v>
      </c>
      <c r="BH21">
        <v>1.169</v>
      </c>
      <c r="BI21">
        <v>1.0721700000000001</v>
      </c>
      <c r="BJ21">
        <v>0.75900000000000001</v>
      </c>
      <c r="BK21">
        <v>0.65624099999999996</v>
      </c>
      <c r="BL21">
        <v>0.66500000000000004</v>
      </c>
      <c r="BN21">
        <v>0.80800000000000005</v>
      </c>
      <c r="BP21">
        <v>0.96399999999999997</v>
      </c>
      <c r="BR21">
        <v>3.22</v>
      </c>
      <c r="BT21">
        <v>1.1579999999999999</v>
      </c>
      <c r="BV21">
        <v>1.367</v>
      </c>
      <c r="BX21">
        <v>1.4193</v>
      </c>
      <c r="BY21">
        <v>0.65624099999999996</v>
      </c>
      <c r="BZ21">
        <v>1.8069</v>
      </c>
      <c r="CB21">
        <v>0.83789999999999998</v>
      </c>
      <c r="CD21">
        <v>9.3270833333333307</v>
      </c>
      <c r="CE21">
        <v>4650</v>
      </c>
      <c r="CF21">
        <v>4650</v>
      </c>
    </row>
    <row r="22" spans="1:84" x14ac:dyDescent="0.3">
      <c r="A22">
        <v>20200</v>
      </c>
      <c r="B22" t="s">
        <v>251</v>
      </c>
      <c r="C22">
        <v>8.9</v>
      </c>
      <c r="D22">
        <v>91.1</v>
      </c>
      <c r="E22">
        <v>17.600000000000001</v>
      </c>
      <c r="F22">
        <v>14.96</v>
      </c>
      <c r="G22">
        <v>44.6</v>
      </c>
      <c r="H22">
        <v>46.947368421052602</v>
      </c>
      <c r="I22">
        <v>33.450000000000003</v>
      </c>
      <c r="J22">
        <v>15.1</v>
      </c>
      <c r="K22">
        <v>6.84</v>
      </c>
      <c r="L22">
        <v>23.2</v>
      </c>
      <c r="M22">
        <v>17.600000000000001</v>
      </c>
      <c r="N22">
        <v>3.3</v>
      </c>
      <c r="O22">
        <v>10.5</v>
      </c>
      <c r="P22">
        <v>2.2999999999999998</v>
      </c>
      <c r="Q22">
        <v>0.5</v>
      </c>
      <c r="R22">
        <v>2.8</v>
      </c>
      <c r="S22">
        <v>2118.2594196940699</v>
      </c>
      <c r="T22">
        <v>4669.88408221797</v>
      </c>
      <c r="U22">
        <v>4669.88408221797</v>
      </c>
      <c r="V22">
        <v>4669.88408221797</v>
      </c>
      <c r="W22">
        <v>4669.88408221797</v>
      </c>
      <c r="X22">
        <v>0.20988000000000001</v>
      </c>
      <c r="Y22">
        <v>0.20988000000000001</v>
      </c>
      <c r="Z22">
        <v>0.49995000000000001</v>
      </c>
      <c r="AA22">
        <v>0.49995000000000001</v>
      </c>
      <c r="AB22">
        <v>0.16664999999999999</v>
      </c>
      <c r="AC22">
        <v>5.9993999999999999E-2</v>
      </c>
      <c r="AD22">
        <v>0.169983</v>
      </c>
      <c r="AE22">
        <v>0.43995600000000001</v>
      </c>
      <c r="AF22">
        <v>400</v>
      </c>
      <c r="AG22">
        <v>6.2000840689364997E-2</v>
      </c>
      <c r="AI22">
        <v>0.01</v>
      </c>
      <c r="AJ22">
        <v>0.06</v>
      </c>
      <c r="AK22">
        <v>0.7</v>
      </c>
      <c r="AL22">
        <v>166.445339280676</v>
      </c>
      <c r="AM22">
        <v>336.27954677143703</v>
      </c>
      <c r="AN22">
        <v>0.62680000000000002</v>
      </c>
      <c r="AO22">
        <v>0.56348160000000003</v>
      </c>
      <c r="AP22">
        <v>0.36180000000000001</v>
      </c>
      <c r="AQ22">
        <v>0.35136640000000002</v>
      </c>
      <c r="AR22">
        <v>0.29120000000000001</v>
      </c>
      <c r="AS22">
        <v>0.23232</v>
      </c>
      <c r="AT22">
        <v>0.65300000000000002</v>
      </c>
      <c r="AU22">
        <v>0.58368640000000005</v>
      </c>
      <c r="AV22">
        <v>0.63600000000000001</v>
      </c>
      <c r="AW22">
        <v>0.52243839999999997</v>
      </c>
      <c r="AX22">
        <v>0.21340000000000001</v>
      </c>
      <c r="AY22">
        <v>0.20364959999999999</v>
      </c>
      <c r="AZ22">
        <v>0.67020000000000002</v>
      </c>
      <c r="BA22">
        <v>0.62029440000000002</v>
      </c>
      <c r="BB22">
        <v>1.0718000000000001</v>
      </c>
      <c r="BC22">
        <v>0.94941439999999999</v>
      </c>
      <c r="BD22">
        <v>0.83260000000000001</v>
      </c>
      <c r="BE22">
        <v>0.73803839999999998</v>
      </c>
      <c r="BF22">
        <v>0.40899999999999997</v>
      </c>
      <c r="BG22">
        <v>0.3779072</v>
      </c>
      <c r="BH22">
        <v>1.2405999999999999</v>
      </c>
      <c r="BI22">
        <v>1.2979824</v>
      </c>
      <c r="BJ22">
        <v>0.76180000000000003</v>
      </c>
      <c r="BK22">
        <v>0.70329600000000003</v>
      </c>
      <c r="BL22">
        <v>0.51744000000000001</v>
      </c>
      <c r="BN22">
        <v>0.72960000000000003</v>
      </c>
      <c r="BP22">
        <v>1.0356000000000001</v>
      </c>
      <c r="BR22">
        <v>2.9485999999999999</v>
      </c>
      <c r="BT22">
        <v>0.73240000000000005</v>
      </c>
      <c r="BV22">
        <v>1.5336000000000001</v>
      </c>
      <c r="BX22">
        <v>1.29888</v>
      </c>
      <c r="BY22">
        <v>0.70329600000000003</v>
      </c>
      <c r="BZ22">
        <v>1.7476799999999999</v>
      </c>
      <c r="CB22">
        <v>0.74448000000000003</v>
      </c>
      <c r="CD22">
        <v>30.515789473684201</v>
      </c>
      <c r="CE22">
        <v>588</v>
      </c>
      <c r="CF22">
        <v>588</v>
      </c>
    </row>
    <row r="23" spans="1:84" x14ac:dyDescent="0.3">
      <c r="A23">
        <v>20250</v>
      </c>
      <c r="B23" t="s">
        <v>252</v>
      </c>
      <c r="C23">
        <v>3.9</v>
      </c>
      <c r="D23">
        <v>96.1</v>
      </c>
      <c r="E23">
        <v>21.2</v>
      </c>
      <c r="F23">
        <v>18.655999999999999</v>
      </c>
      <c r="G23">
        <v>50.4</v>
      </c>
      <c r="H23">
        <v>77.538461538461505</v>
      </c>
      <c r="I23">
        <v>37.799999999999997</v>
      </c>
      <c r="K23">
        <v>6.84</v>
      </c>
      <c r="N23">
        <v>2.9</v>
      </c>
      <c r="O23">
        <v>21.6</v>
      </c>
      <c r="Q23">
        <v>21.6</v>
      </c>
      <c r="R23">
        <v>21.6</v>
      </c>
      <c r="S23">
        <v>1863.87188833652</v>
      </c>
      <c r="T23">
        <v>4109.0650095602296</v>
      </c>
      <c r="U23">
        <v>4109.0650095602296</v>
      </c>
      <c r="V23">
        <v>4109.0650095602296</v>
      </c>
      <c r="W23">
        <v>4109.0650095602296</v>
      </c>
      <c r="X23">
        <v>0.18124999999999999</v>
      </c>
      <c r="Y23">
        <v>0.18124999999999999</v>
      </c>
      <c r="Z23">
        <v>0.36858999999999997</v>
      </c>
      <c r="AA23">
        <v>0.36858999999999997</v>
      </c>
      <c r="AB23">
        <v>0.12286333333333301</v>
      </c>
      <c r="AC23">
        <v>0.12288790600000001</v>
      </c>
      <c r="AD23">
        <v>9.0636280999999999E-2</v>
      </c>
      <c r="AE23">
        <v>0.24570209400000001</v>
      </c>
      <c r="AF23">
        <v>320</v>
      </c>
      <c r="AG23">
        <v>0.10865910046238</v>
      </c>
      <c r="AI23">
        <v>0.04</v>
      </c>
      <c r="AJ23">
        <v>7.0000000000000007E-2</v>
      </c>
      <c r="AK23">
        <v>1.1000000000000001</v>
      </c>
      <c r="AL23">
        <v>278.97585281763003</v>
      </c>
      <c r="AM23">
        <v>65.106398260900093</v>
      </c>
      <c r="AN23">
        <v>0.40916000000000002</v>
      </c>
      <c r="AO23">
        <v>0.36006080000000001</v>
      </c>
      <c r="AP23">
        <v>0.63780000000000003</v>
      </c>
      <c r="AQ23">
        <v>0.53008480000000002</v>
      </c>
      <c r="AR23">
        <v>0.26500000000000001</v>
      </c>
      <c r="AS23">
        <v>0.21729999999999999</v>
      </c>
      <c r="AT23">
        <v>0.82891999999999999</v>
      </c>
      <c r="AU23">
        <v>0.74738479999999996</v>
      </c>
      <c r="AV23">
        <v>0.63600000000000001</v>
      </c>
      <c r="AW23">
        <v>0.55332000000000003</v>
      </c>
      <c r="AX23">
        <v>0.33639999999999998</v>
      </c>
      <c r="AY23">
        <v>0.26712000000000002</v>
      </c>
      <c r="AZ23">
        <v>0.77539999999999998</v>
      </c>
      <c r="BA23">
        <v>0.67288800000000004</v>
      </c>
      <c r="BB23">
        <v>1.4086000000000001</v>
      </c>
      <c r="BC23">
        <v>1.2038207999999999</v>
      </c>
      <c r="BD23">
        <v>0.94399999999999995</v>
      </c>
      <c r="BE23">
        <v>0.85463560000000005</v>
      </c>
      <c r="BF23">
        <v>0.48980000000000001</v>
      </c>
      <c r="BG23">
        <v>0.4377376</v>
      </c>
      <c r="BH23">
        <v>2.0457999999999998</v>
      </c>
      <c r="BI23">
        <v>1.882136</v>
      </c>
      <c r="BJ23">
        <v>0.96640000000000004</v>
      </c>
      <c r="BK23">
        <v>0.79754400000000003</v>
      </c>
      <c r="BL23">
        <v>0.74199999999999999</v>
      </c>
      <c r="BN23">
        <v>0.71655999999999997</v>
      </c>
      <c r="BP23">
        <v>1.0766</v>
      </c>
      <c r="BR23">
        <v>3.9790000000000001</v>
      </c>
      <c r="BT23">
        <v>0.76419999999999999</v>
      </c>
      <c r="BV23">
        <v>1.8488</v>
      </c>
      <c r="BX23">
        <v>1.6281600000000001</v>
      </c>
      <c r="BY23">
        <v>0.79754400000000003</v>
      </c>
      <c r="BZ23">
        <v>1.7214400000000001</v>
      </c>
      <c r="CB23">
        <v>0.94976000000000005</v>
      </c>
      <c r="CD23">
        <v>34.613169230769202</v>
      </c>
      <c r="CE23">
        <v>256</v>
      </c>
      <c r="CF23">
        <v>256</v>
      </c>
    </row>
    <row r="24" spans="1:84" x14ac:dyDescent="0.3">
      <c r="A24">
        <v>20300</v>
      </c>
      <c r="B24" t="s">
        <v>253</v>
      </c>
      <c r="C24">
        <v>9.3000000000000007</v>
      </c>
      <c r="D24">
        <v>90.7</v>
      </c>
      <c r="E24">
        <v>22</v>
      </c>
      <c r="F24">
        <v>18.7</v>
      </c>
      <c r="G24">
        <v>34.700000000000003</v>
      </c>
      <c r="H24">
        <v>36.7195767195767</v>
      </c>
      <c r="I24">
        <v>30.536000000000001</v>
      </c>
      <c r="J24">
        <v>8.5</v>
      </c>
      <c r="K24">
        <v>6.84</v>
      </c>
      <c r="L24">
        <v>17</v>
      </c>
      <c r="M24">
        <v>10.199999999999999</v>
      </c>
      <c r="N24">
        <v>4.8</v>
      </c>
      <c r="O24">
        <v>20.7</v>
      </c>
      <c r="P24">
        <v>5.3</v>
      </c>
      <c r="Q24">
        <v>43.3</v>
      </c>
      <c r="R24">
        <v>48.6</v>
      </c>
      <c r="X24">
        <v>0.3</v>
      </c>
      <c r="Y24">
        <v>0.3</v>
      </c>
      <c r="Z24">
        <v>0.61007999999999996</v>
      </c>
      <c r="AA24">
        <v>0.61007999999999996</v>
      </c>
      <c r="AB24">
        <v>0.20336000000000001</v>
      </c>
      <c r="AC24">
        <v>0.19003992</v>
      </c>
      <c r="AD24">
        <v>0.15001867199999999</v>
      </c>
      <c r="AE24">
        <v>0.42004007999999998</v>
      </c>
      <c r="AF24">
        <v>400</v>
      </c>
      <c r="AG24">
        <v>0.18095838587641899</v>
      </c>
      <c r="AI24">
        <v>0.09</v>
      </c>
      <c r="AJ24">
        <v>0.08</v>
      </c>
      <c r="AK24">
        <v>0.9</v>
      </c>
      <c r="AL24">
        <v>246.76474996480499</v>
      </c>
      <c r="AM24">
        <v>370.82751501054997</v>
      </c>
      <c r="AN24">
        <v>0.81499999999999995</v>
      </c>
      <c r="AO24">
        <v>0.75636000000000003</v>
      </c>
      <c r="AP24">
        <v>0.379</v>
      </c>
      <c r="AQ24">
        <v>0.30936399999999997</v>
      </c>
      <c r="AR24">
        <v>0.39100000000000001</v>
      </c>
      <c r="AS24">
        <v>0.30271999999999999</v>
      </c>
      <c r="AT24">
        <v>0.77</v>
      </c>
      <c r="AU24">
        <v>0.61208399999999996</v>
      </c>
      <c r="AV24">
        <v>0.77400000000000002</v>
      </c>
      <c r="AW24">
        <v>0.71871799999999997</v>
      </c>
      <c r="AX24">
        <v>0.36599999999999999</v>
      </c>
      <c r="AY24">
        <v>0.32894400000000001</v>
      </c>
      <c r="AZ24">
        <v>0.879</v>
      </c>
      <c r="BA24">
        <v>0.78214399999999995</v>
      </c>
      <c r="BB24">
        <v>1.244</v>
      </c>
      <c r="BC24">
        <v>1.1451439999999999</v>
      </c>
      <c r="BD24">
        <v>1.0529999999999999</v>
      </c>
      <c r="BE24">
        <v>0.92518800000000001</v>
      </c>
      <c r="BF24">
        <v>0.436</v>
      </c>
      <c r="BG24">
        <v>0.42503999999999997</v>
      </c>
      <c r="BH24">
        <v>2.0539999999999998</v>
      </c>
      <c r="BI24">
        <v>1.9045840000000001</v>
      </c>
      <c r="BJ24">
        <v>0.996</v>
      </c>
      <c r="BK24">
        <v>0.91674</v>
      </c>
      <c r="BL24">
        <v>0.59399999999999997</v>
      </c>
      <c r="BN24">
        <v>0.98099999999999998</v>
      </c>
      <c r="BP24">
        <v>1.2450000000000001</v>
      </c>
      <c r="BR24">
        <v>4.1680000000000001</v>
      </c>
      <c r="BT24">
        <v>0.75800000000000001</v>
      </c>
      <c r="BV24">
        <v>1.994</v>
      </c>
      <c r="BX24">
        <v>1.6126</v>
      </c>
      <c r="BY24">
        <v>0.91674</v>
      </c>
      <c r="BZ24">
        <v>2.2858000000000001</v>
      </c>
      <c r="CB24">
        <v>0.97240000000000004</v>
      </c>
      <c r="CD24">
        <v>4.7735449735449702</v>
      </c>
      <c r="CE24">
        <v>785</v>
      </c>
      <c r="CF24">
        <v>785</v>
      </c>
    </row>
    <row r="25" spans="1:84" x14ac:dyDescent="0.3">
      <c r="A25">
        <v>20350</v>
      </c>
      <c r="B25" t="s">
        <v>254</v>
      </c>
      <c r="C25">
        <v>12.3</v>
      </c>
      <c r="D25">
        <v>87.7</v>
      </c>
      <c r="E25">
        <v>20.5</v>
      </c>
      <c r="F25">
        <v>17.63</v>
      </c>
      <c r="G25">
        <v>1.5</v>
      </c>
      <c r="H25">
        <v>3</v>
      </c>
      <c r="I25">
        <v>1.2749999999999999</v>
      </c>
      <c r="J25">
        <v>5.7</v>
      </c>
      <c r="K25">
        <v>6.84</v>
      </c>
      <c r="L25">
        <v>12.1</v>
      </c>
      <c r="M25">
        <v>7.4</v>
      </c>
      <c r="N25">
        <v>2.8</v>
      </c>
      <c r="O25">
        <v>57.2</v>
      </c>
      <c r="P25">
        <v>3.5</v>
      </c>
      <c r="Q25">
        <v>40.5</v>
      </c>
      <c r="R25">
        <v>44</v>
      </c>
      <c r="S25">
        <v>1222.4574206500999</v>
      </c>
      <c r="T25">
        <v>2695.0119502868101</v>
      </c>
      <c r="U25">
        <v>2695.0119502868101</v>
      </c>
      <c r="V25">
        <v>2695.0119502868101</v>
      </c>
      <c r="W25">
        <v>2695.0119502868101</v>
      </c>
      <c r="X25">
        <v>9.9959999999999993E-2</v>
      </c>
      <c r="Y25">
        <v>9.9959999999999993E-2</v>
      </c>
      <c r="Z25">
        <v>0.40011999999999998</v>
      </c>
      <c r="AA25">
        <v>0.40011999999999998</v>
      </c>
      <c r="AB25">
        <v>0.13337333333333301</v>
      </c>
      <c r="AC25">
        <v>0.190057</v>
      </c>
      <c r="AD25">
        <v>0.17005100000000001</v>
      </c>
      <c r="AE25">
        <v>0.210063</v>
      </c>
      <c r="AF25">
        <v>278</v>
      </c>
      <c r="AG25" s="9">
        <v>5.8427910886927503E-2</v>
      </c>
      <c r="AI25">
        <v>0.02</v>
      </c>
      <c r="AJ25">
        <v>0.04</v>
      </c>
      <c r="AK25">
        <v>1.05</v>
      </c>
      <c r="AL25">
        <v>265.94818632431299</v>
      </c>
      <c r="AM25">
        <v>171.141937318673</v>
      </c>
      <c r="AN25">
        <v>1.5029999999999999</v>
      </c>
      <c r="AO25">
        <v>1.2966044999999999</v>
      </c>
      <c r="AP25">
        <v>0.18654999999999999</v>
      </c>
      <c r="AQ25">
        <v>0.145509</v>
      </c>
      <c r="AR25">
        <v>0.30135000000000001</v>
      </c>
      <c r="AS25">
        <v>0.2139585</v>
      </c>
      <c r="AT25">
        <v>0.4879</v>
      </c>
      <c r="AU25">
        <v>0.3594675</v>
      </c>
      <c r="AV25">
        <v>0.76800000000000002</v>
      </c>
      <c r="AW25">
        <v>0.60680000000000001</v>
      </c>
      <c r="AX25">
        <v>0.1825</v>
      </c>
      <c r="AY25">
        <v>0.1399125</v>
      </c>
      <c r="AZ25">
        <v>0.85350000000000004</v>
      </c>
      <c r="BA25">
        <v>0.69408899999999996</v>
      </c>
      <c r="BB25">
        <v>1.458</v>
      </c>
      <c r="BC25">
        <v>1.15456</v>
      </c>
      <c r="BD25">
        <v>0.96499999999999997</v>
      </c>
      <c r="BE25">
        <v>0.74673299999999998</v>
      </c>
      <c r="BF25">
        <v>0.504</v>
      </c>
      <c r="BG25">
        <v>0.41500199999999998</v>
      </c>
      <c r="BH25">
        <v>1.7535000000000001</v>
      </c>
      <c r="BI25">
        <v>1.576368</v>
      </c>
      <c r="BJ25">
        <v>0.98399999999999999</v>
      </c>
      <c r="BK25">
        <v>0.80036099999999999</v>
      </c>
      <c r="BL25">
        <v>0.6724</v>
      </c>
      <c r="BN25">
        <v>0.96250000000000002</v>
      </c>
      <c r="BO25">
        <v>0.78707700000000003</v>
      </c>
      <c r="BP25">
        <v>0.89900000000000002</v>
      </c>
      <c r="BQ25">
        <v>0.72895949999999998</v>
      </c>
      <c r="BR25">
        <v>3.38</v>
      </c>
      <c r="BS25">
        <v>2.9481255000000002</v>
      </c>
      <c r="BT25">
        <v>0.84299999999999997</v>
      </c>
      <c r="BU25">
        <v>0.65239199999999997</v>
      </c>
      <c r="BV25">
        <v>2.3374999999999999</v>
      </c>
      <c r="BW25">
        <v>1.9381930000000001</v>
      </c>
      <c r="BX25">
        <v>1.6605000000000001</v>
      </c>
      <c r="BY25">
        <v>0.80036099999999999</v>
      </c>
      <c r="BZ25">
        <v>1.87165</v>
      </c>
      <c r="CA25">
        <v>1.5160365</v>
      </c>
      <c r="CB25">
        <v>0.88765000000000005</v>
      </c>
      <c r="CC25">
        <v>0.71011999999999997</v>
      </c>
      <c r="CD25">
        <v>1.47</v>
      </c>
      <c r="CE25">
        <v>547</v>
      </c>
      <c r="CF25">
        <v>547</v>
      </c>
    </row>
    <row r="26" spans="1:84" x14ac:dyDescent="0.3">
      <c r="A26">
        <v>20400</v>
      </c>
      <c r="B26" t="s">
        <v>255</v>
      </c>
      <c r="C26">
        <v>9.1999999999999993</v>
      </c>
      <c r="D26">
        <v>90.8</v>
      </c>
      <c r="E26">
        <v>30.7</v>
      </c>
      <c r="F26">
        <v>28.244</v>
      </c>
      <c r="G26">
        <v>5.4</v>
      </c>
      <c r="H26">
        <v>6.5060240963855396</v>
      </c>
      <c r="I26">
        <v>4.59</v>
      </c>
      <c r="J26">
        <v>14.5</v>
      </c>
      <c r="K26">
        <v>6.84</v>
      </c>
      <c r="L26">
        <v>25.1</v>
      </c>
      <c r="M26">
        <v>17</v>
      </c>
      <c r="N26">
        <v>2.8</v>
      </c>
      <c r="O26">
        <v>37.4</v>
      </c>
      <c r="P26">
        <v>3</v>
      </c>
      <c r="Q26">
        <v>1.3</v>
      </c>
      <c r="R26">
        <v>4.3</v>
      </c>
      <c r="S26">
        <v>808.56541720841506</v>
      </c>
      <c r="T26">
        <v>1782.55162523901</v>
      </c>
      <c r="U26">
        <v>1782.55162523901</v>
      </c>
      <c r="V26">
        <v>1782.55162523901</v>
      </c>
      <c r="W26">
        <v>1782.55162523901</v>
      </c>
      <c r="X26">
        <v>0.22988</v>
      </c>
      <c r="Y26">
        <v>0.22988</v>
      </c>
      <c r="Z26">
        <v>0.32003999999999999</v>
      </c>
      <c r="AA26">
        <v>0.32003999999999999</v>
      </c>
      <c r="AB26">
        <v>0.10668</v>
      </c>
      <c r="AC26">
        <v>0.14001749999999999</v>
      </c>
      <c r="AD26">
        <v>0.16002</v>
      </c>
      <c r="AE26">
        <v>0.1800225</v>
      </c>
      <c r="AF26">
        <v>340</v>
      </c>
      <c r="AG26">
        <v>5.0231189575452001E-2</v>
      </c>
      <c r="AI26">
        <v>0.02</v>
      </c>
      <c r="AJ26">
        <v>0.03</v>
      </c>
      <c r="AK26">
        <v>1.1000000000000001</v>
      </c>
      <c r="AL26">
        <v>281.55613051050301</v>
      </c>
      <c r="AM26">
        <v>297.05206631081398</v>
      </c>
      <c r="AN26">
        <v>1.4678</v>
      </c>
      <c r="AO26">
        <v>1.3242138000000001</v>
      </c>
      <c r="AP26">
        <v>0.1855</v>
      </c>
      <c r="AQ26">
        <v>0.16897280000000001</v>
      </c>
      <c r="AR26">
        <v>0.41320000000000001</v>
      </c>
      <c r="AS26">
        <v>0.39495550000000001</v>
      </c>
      <c r="AT26">
        <v>0.62939999999999996</v>
      </c>
      <c r="AU26">
        <v>0.56392830000000005</v>
      </c>
      <c r="AV26">
        <v>1.0702</v>
      </c>
      <c r="AW26">
        <v>0.94282770000000005</v>
      </c>
      <c r="AX26">
        <v>0.2545</v>
      </c>
      <c r="AY26">
        <v>0.19635720000000001</v>
      </c>
      <c r="AZ26">
        <v>1.2524999999999999</v>
      </c>
      <c r="BA26">
        <v>1.1147784000000001</v>
      </c>
      <c r="BB26">
        <v>2.0905</v>
      </c>
      <c r="BC26">
        <v>1.920285</v>
      </c>
      <c r="BD26">
        <v>1.2039</v>
      </c>
      <c r="BE26">
        <v>1.0550055</v>
      </c>
      <c r="BF26">
        <v>0.78310000000000002</v>
      </c>
      <c r="BG26">
        <v>0.57408999999999999</v>
      </c>
      <c r="BH26">
        <v>3.2425000000000002</v>
      </c>
      <c r="BI26">
        <v>2.9435159999999998</v>
      </c>
      <c r="BJ26">
        <v>1.1818</v>
      </c>
      <c r="BK26">
        <v>1.0647987999999999</v>
      </c>
      <c r="BL26">
        <v>1.0745</v>
      </c>
      <c r="BN26">
        <v>1.4815</v>
      </c>
      <c r="BO26">
        <v>1.2967679999999999</v>
      </c>
      <c r="BP26">
        <v>1.26</v>
      </c>
      <c r="BQ26">
        <v>1.0293095999999999</v>
      </c>
      <c r="BR26">
        <v>6.2275</v>
      </c>
      <c r="BS26">
        <v>5.4801342000000002</v>
      </c>
      <c r="BT26">
        <v>1.2418</v>
      </c>
      <c r="BU26">
        <v>1.0992135000000001</v>
      </c>
      <c r="BV26">
        <v>3.0064000000000002</v>
      </c>
      <c r="BW26">
        <v>2.6826888000000002</v>
      </c>
      <c r="BX26">
        <v>2.2318899999999999</v>
      </c>
      <c r="BY26">
        <v>1.0647987999999999</v>
      </c>
      <c r="BZ26">
        <v>2.6432699999999998</v>
      </c>
      <c r="CA26">
        <v>2.3260776000000001</v>
      </c>
      <c r="CB26">
        <v>0.99468000000000001</v>
      </c>
      <c r="CC26">
        <v>0.85542479999999999</v>
      </c>
      <c r="CD26">
        <v>3.1228915662650598</v>
      </c>
      <c r="CE26">
        <v>680</v>
      </c>
      <c r="CF26">
        <v>680</v>
      </c>
    </row>
    <row r="27" spans="1:84" x14ac:dyDescent="0.3">
      <c r="A27">
        <v>20450</v>
      </c>
      <c r="B27" t="s">
        <v>256</v>
      </c>
      <c r="C27">
        <v>11.5</v>
      </c>
      <c r="D27">
        <v>88.5</v>
      </c>
      <c r="E27">
        <v>25.1</v>
      </c>
      <c r="F27">
        <v>19.829000000000001</v>
      </c>
      <c r="G27">
        <v>1.3</v>
      </c>
      <c r="H27">
        <v>1.7333333333333301</v>
      </c>
      <c r="I27">
        <v>1.105</v>
      </c>
      <c r="J27">
        <v>8.5</v>
      </c>
      <c r="K27">
        <v>6.84</v>
      </c>
      <c r="L27">
        <v>13.3</v>
      </c>
      <c r="M27">
        <v>9.8000000000000007</v>
      </c>
      <c r="N27">
        <v>3.4</v>
      </c>
      <c r="O27">
        <v>50.2</v>
      </c>
      <c r="P27">
        <v>3.7</v>
      </c>
      <c r="Q27">
        <v>35</v>
      </c>
      <c r="R27">
        <v>38.700000000000003</v>
      </c>
      <c r="S27">
        <v>1118.31155449331</v>
      </c>
      <c r="T27">
        <v>2465.4134799235198</v>
      </c>
      <c r="U27">
        <v>2465.4134799235198</v>
      </c>
      <c r="V27">
        <v>2465.4134799235198</v>
      </c>
      <c r="W27">
        <v>2465.4134799235198</v>
      </c>
      <c r="X27">
        <v>0.12002</v>
      </c>
      <c r="Y27">
        <v>0.12002</v>
      </c>
      <c r="Z27">
        <v>0.53005999999999998</v>
      </c>
      <c r="AA27">
        <v>0.53005999999999998</v>
      </c>
      <c r="AB27">
        <v>0.17668666666666699</v>
      </c>
      <c r="AC27">
        <v>0.23004604000000001</v>
      </c>
      <c r="AD27">
        <v>0.220027906</v>
      </c>
      <c r="AE27">
        <v>0.30001396000000002</v>
      </c>
      <c r="AF27">
        <v>220</v>
      </c>
      <c r="AG27" s="9">
        <v>8.3018074821353496E-2</v>
      </c>
      <c r="AI27">
        <v>0.02</v>
      </c>
      <c r="AJ27">
        <v>7.0000000000000007E-2</v>
      </c>
      <c r="AK27">
        <v>1.24</v>
      </c>
      <c r="AL27">
        <v>306.07642782844999</v>
      </c>
      <c r="AM27">
        <v>164.961817679218</v>
      </c>
      <c r="AN27">
        <v>1.5378000000000001</v>
      </c>
      <c r="AO27">
        <v>1.2596183999999999</v>
      </c>
      <c r="AP27">
        <v>0.16816999999999999</v>
      </c>
      <c r="AQ27">
        <v>0.117719</v>
      </c>
      <c r="AR27">
        <v>0.29618</v>
      </c>
      <c r="AS27">
        <v>0.16882259999999999</v>
      </c>
      <c r="AT27">
        <v>0.46434999999999998</v>
      </c>
      <c r="AU27">
        <v>0.28654160000000001</v>
      </c>
      <c r="AV27">
        <v>0.85399999999999998</v>
      </c>
      <c r="AW27">
        <v>0.62408640000000004</v>
      </c>
      <c r="AX27">
        <v>0.2109</v>
      </c>
      <c r="AY27">
        <v>0.14030899999999999</v>
      </c>
      <c r="AZ27">
        <v>1.0006999999999999</v>
      </c>
      <c r="BA27">
        <v>0.71881379999999995</v>
      </c>
      <c r="BB27">
        <v>1.7983</v>
      </c>
      <c r="BC27">
        <v>1.3045724999999999</v>
      </c>
      <c r="BD27">
        <v>1.1202000000000001</v>
      </c>
      <c r="BE27">
        <v>0.80611160000000004</v>
      </c>
      <c r="BF27">
        <v>0.64139999999999997</v>
      </c>
      <c r="BG27">
        <v>0.46926960000000001</v>
      </c>
      <c r="BH27">
        <v>2.1522999999999999</v>
      </c>
      <c r="BI27">
        <v>1.9017767999999999</v>
      </c>
      <c r="BJ27">
        <v>1.0438000000000001</v>
      </c>
      <c r="BK27">
        <v>0.77257799999999999</v>
      </c>
      <c r="BL27">
        <v>0.87849999999999995</v>
      </c>
      <c r="BN27">
        <v>1.1595</v>
      </c>
      <c r="BO27">
        <v>0.92413179999999995</v>
      </c>
      <c r="BP27">
        <v>1.0296000000000001</v>
      </c>
      <c r="BQ27">
        <v>0.7530753</v>
      </c>
      <c r="BR27">
        <v>3.9409000000000001</v>
      </c>
      <c r="BS27">
        <v>3.2532611999999999</v>
      </c>
      <c r="BT27">
        <v>1.0072000000000001</v>
      </c>
      <c r="BU27">
        <v>0.69102810000000003</v>
      </c>
      <c r="BV27">
        <v>2.6383999999999999</v>
      </c>
      <c r="BW27">
        <v>2.0521760000000002</v>
      </c>
      <c r="BX27">
        <v>1.8950499999999999</v>
      </c>
      <c r="BY27">
        <v>0.77257799999999999</v>
      </c>
      <c r="BZ27">
        <v>2.1585999999999999</v>
      </c>
      <c r="CA27">
        <v>1.6772071</v>
      </c>
      <c r="CB27">
        <v>0.98392000000000002</v>
      </c>
      <c r="CC27">
        <v>0.77729680000000001</v>
      </c>
      <c r="CD27">
        <v>0.86666666666666503</v>
      </c>
      <c r="CE27">
        <v>1670</v>
      </c>
      <c r="CF27">
        <v>1670</v>
      </c>
    </row>
    <row r="28" spans="1:84" x14ac:dyDescent="0.3">
      <c r="A28">
        <v>21050</v>
      </c>
      <c r="B28" t="s">
        <v>257</v>
      </c>
      <c r="C28">
        <v>9.4</v>
      </c>
      <c r="D28">
        <v>90.6</v>
      </c>
      <c r="E28">
        <v>42</v>
      </c>
      <c r="F28">
        <v>36.54</v>
      </c>
      <c r="G28">
        <v>7.9</v>
      </c>
      <c r="H28">
        <v>8.7777777777777803</v>
      </c>
      <c r="I28">
        <v>7.5049999999999999</v>
      </c>
      <c r="J28">
        <v>6.22</v>
      </c>
      <c r="K28">
        <v>6.84</v>
      </c>
      <c r="L28">
        <v>13.7</v>
      </c>
      <c r="M28">
        <v>7.7750000000000004</v>
      </c>
      <c r="N28">
        <v>6.2</v>
      </c>
      <c r="O28">
        <v>28.28</v>
      </c>
      <c r="P28">
        <v>3</v>
      </c>
      <c r="Q28">
        <v>0.2</v>
      </c>
      <c r="R28">
        <v>3.2</v>
      </c>
      <c r="S28">
        <v>1158.3528993499001</v>
      </c>
      <c r="T28">
        <v>2553.6880497131901</v>
      </c>
      <c r="U28">
        <v>2553.6880497131901</v>
      </c>
      <c r="V28">
        <v>2553.6880497131901</v>
      </c>
      <c r="W28">
        <v>2553.6880497131901</v>
      </c>
      <c r="X28">
        <v>0.31619999999999998</v>
      </c>
      <c r="Y28">
        <v>0.31619999999999998</v>
      </c>
      <c r="Z28">
        <v>0.70865999999999996</v>
      </c>
      <c r="AA28">
        <v>0.70865999999999996</v>
      </c>
      <c r="AB28">
        <v>0.23622000000000001</v>
      </c>
      <c r="AC28">
        <v>0.22776332399999999</v>
      </c>
      <c r="AD28">
        <v>0.30373167600000001</v>
      </c>
      <c r="AE28">
        <v>0.48089667600000002</v>
      </c>
      <c r="AF28">
        <v>500</v>
      </c>
      <c r="AG28">
        <v>7.3560319461958998E-2</v>
      </c>
      <c r="AI28">
        <v>3.5000000000000003E-2</v>
      </c>
      <c r="AJ28">
        <v>3.5000000000000003E-2</v>
      </c>
      <c r="AK28">
        <v>1.65</v>
      </c>
      <c r="AL28">
        <v>427.33087528470799</v>
      </c>
      <c r="AM28">
        <v>373.58574336358799</v>
      </c>
      <c r="AN28">
        <v>2.5499999999999998</v>
      </c>
      <c r="AO28">
        <v>2.3360400000000001</v>
      </c>
      <c r="AP28">
        <v>0.54600000000000004</v>
      </c>
      <c r="AQ28">
        <v>0.50832599999999994</v>
      </c>
      <c r="AR28">
        <v>0.61739999999999995</v>
      </c>
      <c r="AS28">
        <v>0.50626800000000005</v>
      </c>
      <c r="AT28">
        <v>1.2010000000000001</v>
      </c>
      <c r="AU28">
        <v>1.014594</v>
      </c>
      <c r="AV28">
        <v>1.6339999999999999</v>
      </c>
      <c r="AW28">
        <v>1.3851599999999999</v>
      </c>
      <c r="AX28">
        <v>0.57999999999999996</v>
      </c>
      <c r="AY28">
        <v>0.50836800000000004</v>
      </c>
      <c r="AZ28">
        <v>1.87</v>
      </c>
      <c r="BA28">
        <v>1.6820999999999999</v>
      </c>
      <c r="BB28">
        <v>3.1840000000000002</v>
      </c>
      <c r="BC28">
        <v>2.8035000000000001</v>
      </c>
      <c r="BD28">
        <v>1.982</v>
      </c>
      <c r="BE28">
        <v>1.7445120000000001</v>
      </c>
      <c r="BF28">
        <v>1.0980000000000001</v>
      </c>
      <c r="BG28">
        <v>1.0085040000000001</v>
      </c>
      <c r="BH28">
        <v>3.0649999999999999</v>
      </c>
      <c r="BI28">
        <v>2.8435679999999999</v>
      </c>
      <c r="BJ28">
        <v>2.1030000000000002</v>
      </c>
      <c r="BK28">
        <v>1.869</v>
      </c>
      <c r="BL28">
        <v>1.5162</v>
      </c>
      <c r="BN28">
        <v>2.1059999999999999</v>
      </c>
      <c r="BO28">
        <v>1.8023880000000001</v>
      </c>
      <c r="BP28">
        <v>1.772</v>
      </c>
      <c r="BQ28">
        <v>1.387386</v>
      </c>
      <c r="BR28">
        <v>7.4820000000000002</v>
      </c>
      <c r="BS28">
        <v>6.2867699999999997</v>
      </c>
      <c r="BT28">
        <v>2.12</v>
      </c>
      <c r="BU28">
        <v>1.7430000000000001</v>
      </c>
      <c r="BV28">
        <v>4.7590000000000003</v>
      </c>
      <c r="BW28">
        <v>3.7194780000000001</v>
      </c>
      <c r="BX28">
        <v>3.6162000000000001</v>
      </c>
      <c r="BY28">
        <v>1.869</v>
      </c>
      <c r="BZ28">
        <v>3.8976000000000002</v>
      </c>
      <c r="CA28">
        <v>3.1897739999999999</v>
      </c>
      <c r="CB28">
        <v>1.7976000000000001</v>
      </c>
      <c r="CC28">
        <v>1.492008</v>
      </c>
      <c r="CD28">
        <v>4.74</v>
      </c>
      <c r="CE28">
        <v>2794</v>
      </c>
      <c r="CF28">
        <v>2794</v>
      </c>
    </row>
    <row r="29" spans="1:84" x14ac:dyDescent="0.3">
      <c r="A29">
        <v>21100</v>
      </c>
      <c r="B29" t="s">
        <v>258</v>
      </c>
      <c r="C29">
        <v>9.4</v>
      </c>
      <c r="D29">
        <v>90.6</v>
      </c>
      <c r="E29">
        <v>42</v>
      </c>
      <c r="F29">
        <v>36.54</v>
      </c>
      <c r="G29">
        <v>7.9</v>
      </c>
      <c r="H29">
        <v>8.7777777777777803</v>
      </c>
      <c r="I29">
        <v>7.11</v>
      </c>
      <c r="J29">
        <v>6.22</v>
      </c>
      <c r="K29">
        <v>6.84</v>
      </c>
      <c r="L29">
        <v>13.7</v>
      </c>
      <c r="M29">
        <v>7.7750000000000004</v>
      </c>
      <c r="N29">
        <v>6.2</v>
      </c>
      <c r="O29">
        <v>28.28</v>
      </c>
      <c r="P29">
        <v>3</v>
      </c>
      <c r="Q29">
        <v>0.2</v>
      </c>
      <c r="R29">
        <v>3.2</v>
      </c>
      <c r="S29">
        <v>1158.3528993499001</v>
      </c>
      <c r="T29">
        <v>2553.6880497131901</v>
      </c>
      <c r="U29">
        <v>2553.6880497131901</v>
      </c>
      <c r="V29">
        <v>2553.6880497131901</v>
      </c>
      <c r="W29">
        <v>2553.6880497131901</v>
      </c>
      <c r="X29">
        <v>0.31619999999999998</v>
      </c>
      <c r="Y29">
        <v>0.31619999999999998</v>
      </c>
      <c r="Z29">
        <v>0.70865999999999996</v>
      </c>
      <c r="AA29">
        <v>0.70865999999999996</v>
      </c>
      <c r="AB29">
        <v>0.23622000000000001</v>
      </c>
      <c r="AC29">
        <v>0.22776332399999999</v>
      </c>
      <c r="AD29">
        <v>0.30373167600000001</v>
      </c>
      <c r="AE29">
        <v>0.48089667600000002</v>
      </c>
      <c r="AF29">
        <v>500</v>
      </c>
      <c r="AG29">
        <v>7.3560319461958998E-2</v>
      </c>
      <c r="AI29">
        <v>3.5000000000000003E-2</v>
      </c>
      <c r="AJ29">
        <v>3.5000000000000003E-2</v>
      </c>
      <c r="AK29">
        <v>1.65</v>
      </c>
      <c r="AL29">
        <v>427.33087528470799</v>
      </c>
      <c r="AM29">
        <v>373.58574336358799</v>
      </c>
      <c r="AN29">
        <v>2.5499999999999998</v>
      </c>
      <c r="AO29">
        <v>2.3360400000000001</v>
      </c>
      <c r="AP29">
        <v>0.54600000000000004</v>
      </c>
      <c r="AQ29">
        <v>0.50832599999999994</v>
      </c>
      <c r="AR29">
        <v>0.61739999999999995</v>
      </c>
      <c r="AS29">
        <v>0.50626800000000005</v>
      </c>
      <c r="AT29">
        <v>1.2010000000000001</v>
      </c>
      <c r="AU29">
        <v>1.014594</v>
      </c>
      <c r="AV29">
        <v>1.6339999999999999</v>
      </c>
      <c r="AW29">
        <v>1.3851599999999999</v>
      </c>
      <c r="AX29">
        <v>0.57999999999999996</v>
      </c>
      <c r="AY29">
        <v>0.50836800000000004</v>
      </c>
      <c r="AZ29">
        <v>1.87</v>
      </c>
      <c r="BA29">
        <v>1.6820999999999999</v>
      </c>
      <c r="BB29">
        <v>3.1840000000000002</v>
      </c>
      <c r="BC29">
        <v>2.8035000000000001</v>
      </c>
      <c r="BD29">
        <v>1.982</v>
      </c>
      <c r="BE29">
        <v>1.7445120000000001</v>
      </c>
      <c r="BF29">
        <v>1.0980000000000001</v>
      </c>
      <c r="BG29">
        <v>1.0085040000000001</v>
      </c>
      <c r="BH29">
        <v>3.0649999999999999</v>
      </c>
      <c r="BI29">
        <v>2.8435679999999999</v>
      </c>
      <c r="BJ29">
        <v>2.1030000000000002</v>
      </c>
      <c r="BK29">
        <v>1.869</v>
      </c>
      <c r="BL29">
        <v>1.5162</v>
      </c>
      <c r="BN29">
        <v>2.1059999999999999</v>
      </c>
      <c r="BO29">
        <v>1.8023880000000001</v>
      </c>
      <c r="BP29">
        <v>1.772</v>
      </c>
      <c r="BQ29">
        <v>1.387386</v>
      </c>
      <c r="BR29">
        <v>7.4820000000000002</v>
      </c>
      <c r="BS29">
        <v>6.2867699999999997</v>
      </c>
      <c r="BT29">
        <v>2.12</v>
      </c>
      <c r="BU29">
        <v>1.7430000000000001</v>
      </c>
      <c r="BV29">
        <v>4.7590000000000003</v>
      </c>
      <c r="BW29">
        <v>3.7194780000000001</v>
      </c>
      <c r="BX29">
        <v>3.6162000000000001</v>
      </c>
      <c r="BY29">
        <v>1.869</v>
      </c>
      <c r="BZ29">
        <v>3.8976000000000002</v>
      </c>
      <c r="CA29">
        <v>3.1897739999999999</v>
      </c>
      <c r="CB29">
        <v>1.7976000000000001</v>
      </c>
      <c r="CC29">
        <v>1.492008</v>
      </c>
      <c r="CD29">
        <v>4.74</v>
      </c>
      <c r="CE29">
        <v>2794</v>
      </c>
      <c r="CF29">
        <v>2794</v>
      </c>
    </row>
    <row r="30" spans="1:84" x14ac:dyDescent="0.3">
      <c r="A30">
        <v>21150</v>
      </c>
      <c r="B30" t="s">
        <v>259</v>
      </c>
      <c r="C30">
        <v>9.4</v>
      </c>
      <c r="D30">
        <v>90.6</v>
      </c>
      <c r="E30">
        <v>42</v>
      </c>
      <c r="F30">
        <v>36.54</v>
      </c>
      <c r="G30">
        <v>7.9</v>
      </c>
      <c r="H30">
        <v>8.7777777777777803</v>
      </c>
      <c r="I30">
        <v>6.5570000000000004</v>
      </c>
      <c r="J30">
        <v>6.22</v>
      </c>
      <c r="K30">
        <v>6.84</v>
      </c>
      <c r="L30">
        <v>13.7</v>
      </c>
      <c r="M30">
        <v>7.7750000000000004</v>
      </c>
      <c r="N30">
        <v>6.2</v>
      </c>
      <c r="O30">
        <v>28.28</v>
      </c>
      <c r="P30">
        <v>3</v>
      </c>
      <c r="Q30">
        <v>0.2</v>
      </c>
      <c r="R30">
        <v>3.2</v>
      </c>
      <c r="S30">
        <v>1158.3528993499001</v>
      </c>
      <c r="T30">
        <v>2553.6880497131901</v>
      </c>
      <c r="U30">
        <v>2553.6880497131901</v>
      </c>
      <c r="V30">
        <v>2553.6880497131901</v>
      </c>
      <c r="W30">
        <v>2553.6880497131901</v>
      </c>
      <c r="X30">
        <v>0.31619999999999998</v>
      </c>
      <c r="Y30">
        <v>0.31619999999999998</v>
      </c>
      <c r="Z30">
        <v>0.70865999999999996</v>
      </c>
      <c r="AA30">
        <v>0.70865999999999996</v>
      </c>
      <c r="AB30">
        <v>0.23622000000000001</v>
      </c>
      <c r="AC30">
        <v>0.22776332399999999</v>
      </c>
      <c r="AD30">
        <v>0.30373167600000001</v>
      </c>
      <c r="AE30">
        <v>0.48089667600000002</v>
      </c>
      <c r="AF30">
        <v>500</v>
      </c>
      <c r="AG30">
        <v>7.3560319461958998E-2</v>
      </c>
      <c r="AI30">
        <v>3.5000000000000003E-2</v>
      </c>
      <c r="AJ30">
        <v>3.5000000000000003E-2</v>
      </c>
      <c r="AK30">
        <v>1.65</v>
      </c>
      <c r="AL30">
        <v>427.33087528470799</v>
      </c>
      <c r="AM30">
        <v>373.58574336358799</v>
      </c>
      <c r="AN30">
        <v>2.5499999999999998</v>
      </c>
      <c r="AO30">
        <v>2.3360400000000001</v>
      </c>
      <c r="AP30">
        <v>0.54600000000000004</v>
      </c>
      <c r="AQ30">
        <v>0.50832599999999994</v>
      </c>
      <c r="AR30">
        <v>0.61739999999999995</v>
      </c>
      <c r="AS30">
        <v>0.50626800000000005</v>
      </c>
      <c r="AT30">
        <v>1.2010000000000001</v>
      </c>
      <c r="AU30">
        <v>1.014594</v>
      </c>
      <c r="AV30">
        <v>1.6339999999999999</v>
      </c>
      <c r="AW30">
        <v>1.3851599999999999</v>
      </c>
      <c r="AX30">
        <v>0.57999999999999996</v>
      </c>
      <c r="AY30">
        <v>0.50836800000000004</v>
      </c>
      <c r="AZ30">
        <v>1.87</v>
      </c>
      <c r="BA30">
        <v>1.6820999999999999</v>
      </c>
      <c r="BB30">
        <v>3.1840000000000002</v>
      </c>
      <c r="BC30">
        <v>2.8035000000000001</v>
      </c>
      <c r="BD30">
        <v>1.982</v>
      </c>
      <c r="BE30">
        <v>1.7445120000000001</v>
      </c>
      <c r="BF30">
        <v>1.0980000000000001</v>
      </c>
      <c r="BG30">
        <v>1.0085040000000001</v>
      </c>
      <c r="BH30">
        <v>3.0649999999999999</v>
      </c>
      <c r="BI30">
        <v>2.8435679999999999</v>
      </c>
      <c r="BJ30">
        <v>2.1030000000000002</v>
      </c>
      <c r="BK30">
        <v>1.869</v>
      </c>
      <c r="BL30">
        <v>1.5162</v>
      </c>
      <c r="BN30">
        <v>2.1059999999999999</v>
      </c>
      <c r="BO30">
        <v>1.8023880000000001</v>
      </c>
      <c r="BP30">
        <v>1.772</v>
      </c>
      <c r="BQ30">
        <v>1.387386</v>
      </c>
      <c r="BR30">
        <v>7.4820000000000002</v>
      </c>
      <c r="BS30">
        <v>6.2867699999999997</v>
      </c>
      <c r="BT30">
        <v>2.12</v>
      </c>
      <c r="BU30">
        <v>1.7430000000000001</v>
      </c>
      <c r="BV30">
        <v>4.7590000000000003</v>
      </c>
      <c r="BW30">
        <v>3.7194780000000001</v>
      </c>
      <c r="BX30">
        <v>3.6162000000000001</v>
      </c>
      <c r="BY30">
        <v>1.869</v>
      </c>
      <c r="BZ30">
        <v>3.8976000000000002</v>
      </c>
      <c r="CA30">
        <v>3.1897739999999999</v>
      </c>
      <c r="CB30">
        <v>1.7976000000000001</v>
      </c>
      <c r="CC30">
        <v>1.492008</v>
      </c>
      <c r="CD30">
        <v>4.74</v>
      </c>
      <c r="CE30">
        <v>2794</v>
      </c>
      <c r="CF30">
        <v>2794</v>
      </c>
    </row>
    <row r="31" spans="1:84" x14ac:dyDescent="0.3">
      <c r="A31">
        <v>22010</v>
      </c>
      <c r="B31" t="s">
        <v>260</v>
      </c>
      <c r="C31">
        <v>12.1</v>
      </c>
      <c r="D31">
        <v>87.9</v>
      </c>
      <c r="E31">
        <v>44</v>
      </c>
      <c r="F31">
        <v>38.28</v>
      </c>
      <c r="G31">
        <v>1.7</v>
      </c>
      <c r="H31">
        <v>2.2666666666666702</v>
      </c>
      <c r="I31">
        <v>0.85</v>
      </c>
      <c r="J31">
        <v>5.6</v>
      </c>
      <c r="K31">
        <v>6.84</v>
      </c>
      <c r="L31">
        <v>12.5</v>
      </c>
      <c r="M31">
        <v>7</v>
      </c>
      <c r="N31">
        <v>6.2</v>
      </c>
      <c r="O31">
        <v>30.4</v>
      </c>
      <c r="P31">
        <v>7</v>
      </c>
      <c r="Q31">
        <v>0.5</v>
      </c>
      <c r="R31">
        <v>7.5</v>
      </c>
      <c r="S31">
        <v>989.73633613766594</v>
      </c>
      <c r="T31">
        <v>2181.9584130019098</v>
      </c>
      <c r="U31">
        <v>2181.9584130019098</v>
      </c>
      <c r="V31">
        <v>2181.9584130019098</v>
      </c>
      <c r="W31">
        <v>2181.9584130019098</v>
      </c>
      <c r="X31">
        <v>0.29015999999999997</v>
      </c>
      <c r="Y31">
        <v>0.29015999999999997</v>
      </c>
      <c r="Z31">
        <v>0.61007999999999996</v>
      </c>
      <c r="AA31">
        <v>0.61007999999999996</v>
      </c>
      <c r="AB31">
        <v>0.20336000000000001</v>
      </c>
      <c r="AC31">
        <v>0.21005054400000001</v>
      </c>
      <c r="AD31">
        <v>0.26001609599999997</v>
      </c>
      <c r="AE31">
        <v>0.40002945600000001</v>
      </c>
      <c r="AF31">
        <v>580</v>
      </c>
      <c r="AG31">
        <v>5.3804119377890001E-2</v>
      </c>
      <c r="AI31">
        <v>0.01</v>
      </c>
      <c r="AJ31">
        <v>0.05</v>
      </c>
      <c r="AK31">
        <v>1.96</v>
      </c>
      <c r="AL31">
        <v>491.50037057238501</v>
      </c>
      <c r="AM31">
        <v>437.95597689916099</v>
      </c>
      <c r="AN31">
        <v>2.6751999999999998</v>
      </c>
      <c r="AO31">
        <v>2.3809279999999999</v>
      </c>
      <c r="AP31">
        <v>0.57640000000000002</v>
      </c>
      <c r="AQ31">
        <v>0.51876</v>
      </c>
      <c r="AR31">
        <v>0.62480000000000002</v>
      </c>
      <c r="AS31">
        <v>0.487344</v>
      </c>
      <c r="AT31">
        <v>1.2012</v>
      </c>
      <c r="AU31">
        <v>1.0061040000000001</v>
      </c>
      <c r="AV31">
        <v>1.7270000000000001</v>
      </c>
      <c r="AW31">
        <v>1.40602</v>
      </c>
      <c r="AX31">
        <v>0.59299999999999997</v>
      </c>
      <c r="AY31">
        <v>0.52474399999999999</v>
      </c>
      <c r="AZ31">
        <v>1.994</v>
      </c>
      <c r="BA31">
        <v>1.7417400000000001</v>
      </c>
      <c r="BB31">
        <v>3.3450000000000002</v>
      </c>
      <c r="BC31">
        <v>2.871</v>
      </c>
      <c r="BD31">
        <v>2.077</v>
      </c>
      <c r="BE31">
        <v>1.7860480000000001</v>
      </c>
      <c r="BF31">
        <v>1.165</v>
      </c>
      <c r="BG31">
        <v>1.0103279999999999</v>
      </c>
      <c r="BH31">
        <v>3.2090000000000001</v>
      </c>
      <c r="BI31">
        <v>2.8908879999999999</v>
      </c>
      <c r="BJ31">
        <v>2.2440000000000002</v>
      </c>
      <c r="BK31">
        <v>1.9592320000000001</v>
      </c>
      <c r="BL31">
        <v>1.5980000000000001</v>
      </c>
      <c r="BM31">
        <v>1.4597439999999999</v>
      </c>
      <c r="BN31">
        <v>2.1859999999999999</v>
      </c>
      <c r="BO31">
        <v>1.9540839999999999</v>
      </c>
      <c r="BP31">
        <v>1.8740000000000001</v>
      </c>
      <c r="BQ31">
        <v>1.5411440000000001</v>
      </c>
      <c r="BR31">
        <v>7.8730000000000002</v>
      </c>
      <c r="BS31">
        <v>7.0289999999999999</v>
      </c>
      <c r="BT31">
        <v>2.2250000000000001</v>
      </c>
      <c r="BU31">
        <v>1.9139999999999999</v>
      </c>
      <c r="BV31">
        <v>4.99</v>
      </c>
      <c r="BW31">
        <v>4.2683520000000001</v>
      </c>
      <c r="BX31">
        <v>3.8852000000000002</v>
      </c>
      <c r="BY31">
        <v>3.4189759999999998</v>
      </c>
      <c r="BZ31">
        <v>4.0523999999999996</v>
      </c>
      <c r="CA31">
        <v>3.495228</v>
      </c>
      <c r="CB31">
        <v>1.8919999999999999</v>
      </c>
      <c r="CC31">
        <v>1.6271199999999999</v>
      </c>
      <c r="CD31">
        <v>1.224</v>
      </c>
      <c r="CE31">
        <v>2420</v>
      </c>
      <c r="CF31">
        <v>2420</v>
      </c>
    </row>
    <row r="32" spans="1:84" x14ac:dyDescent="0.3">
      <c r="A32">
        <v>22020</v>
      </c>
      <c r="B32" t="s">
        <v>261</v>
      </c>
      <c r="C32">
        <v>12.05</v>
      </c>
      <c r="D32">
        <v>87.95</v>
      </c>
      <c r="E32">
        <v>45</v>
      </c>
      <c r="F32">
        <v>39.15</v>
      </c>
      <c r="G32">
        <v>1.675</v>
      </c>
      <c r="H32">
        <v>2.26351351351351</v>
      </c>
      <c r="I32">
        <v>0.83750000000000002</v>
      </c>
      <c r="J32">
        <v>5.3</v>
      </c>
      <c r="K32">
        <v>6.84</v>
      </c>
      <c r="L32">
        <v>11.6</v>
      </c>
      <c r="M32">
        <v>6.7</v>
      </c>
      <c r="N32">
        <v>6.13</v>
      </c>
      <c r="O32">
        <v>29.844999999999999</v>
      </c>
      <c r="P32">
        <v>7</v>
      </c>
      <c r="Q32">
        <v>0.5</v>
      </c>
      <c r="R32">
        <v>7.5</v>
      </c>
      <c r="S32">
        <v>1002.46810973232</v>
      </c>
      <c r="T32">
        <v>2210.0266969407298</v>
      </c>
      <c r="U32">
        <v>2210.0266969407298</v>
      </c>
      <c r="V32">
        <v>2210.0266969407298</v>
      </c>
      <c r="W32">
        <v>2210.0266969407298</v>
      </c>
      <c r="X32">
        <v>0.28688399999999997</v>
      </c>
      <c r="Y32">
        <v>0.28688399999999997</v>
      </c>
      <c r="Z32">
        <v>0.60319199999999995</v>
      </c>
      <c r="AA32">
        <v>0.60319199999999995</v>
      </c>
      <c r="AB32">
        <v>0.20106399999999999</v>
      </c>
      <c r="AC32">
        <v>0.20767900559999999</v>
      </c>
      <c r="AD32">
        <v>0.2570804304</v>
      </c>
      <c r="AE32">
        <v>0.39551299439999998</v>
      </c>
      <c r="AF32">
        <v>590</v>
      </c>
      <c r="AG32" s="9">
        <v>6.02143757881465E-2</v>
      </c>
      <c r="AI32">
        <v>1.4999999999999999E-2</v>
      </c>
      <c r="AJ32">
        <v>0.05</v>
      </c>
      <c r="AK32">
        <v>1.98</v>
      </c>
      <c r="AL32">
        <v>498.791003506295</v>
      </c>
      <c r="AM32">
        <v>445.36476942038399</v>
      </c>
      <c r="AN32">
        <v>2.7360000000000002</v>
      </c>
      <c r="AO32">
        <v>2.4350399999999999</v>
      </c>
      <c r="AP32">
        <v>0.59850000000000003</v>
      </c>
      <c r="AQ32">
        <v>0.53864999999999996</v>
      </c>
      <c r="AR32">
        <v>0.63900000000000001</v>
      </c>
      <c r="AS32">
        <v>0.49841999999999997</v>
      </c>
      <c r="AT32">
        <v>1.2375</v>
      </c>
      <c r="AU32">
        <v>1.0370699999999999</v>
      </c>
      <c r="AV32">
        <v>1.7629999999999999</v>
      </c>
      <c r="AW32">
        <v>1.437975</v>
      </c>
      <c r="AX32">
        <v>0.60299999999999998</v>
      </c>
      <c r="AY32">
        <v>0.53666999999999998</v>
      </c>
      <c r="AZ32">
        <v>2.0430000000000001</v>
      </c>
      <c r="BA32">
        <v>1.781325</v>
      </c>
      <c r="BB32">
        <v>3.4220000000000002</v>
      </c>
      <c r="BC32">
        <v>2.9362499999999998</v>
      </c>
      <c r="BD32">
        <v>2.1230000000000002</v>
      </c>
      <c r="BE32">
        <v>1.82664</v>
      </c>
      <c r="BF32">
        <v>1.1879999999999999</v>
      </c>
      <c r="BG32">
        <v>1.03329</v>
      </c>
      <c r="BH32">
        <v>3.27</v>
      </c>
      <c r="BI32">
        <v>2.9565899999999998</v>
      </c>
      <c r="BJ32">
        <v>2.2989999999999999</v>
      </c>
      <c r="BK32">
        <v>2.0037600000000002</v>
      </c>
      <c r="BL32">
        <v>1.6559999999999999</v>
      </c>
      <c r="BM32">
        <v>1.49292</v>
      </c>
      <c r="BN32">
        <v>2.2349999999999999</v>
      </c>
      <c r="BO32">
        <v>1.9984949999999999</v>
      </c>
      <c r="BP32">
        <v>1.9119999999999999</v>
      </c>
      <c r="BQ32">
        <v>1.5761700000000001</v>
      </c>
      <c r="BR32">
        <v>8.06</v>
      </c>
      <c r="BS32">
        <v>7.1887499999999998</v>
      </c>
      <c r="BT32">
        <v>2.2719999999999998</v>
      </c>
      <c r="BU32">
        <v>1.9575</v>
      </c>
      <c r="BV32">
        <v>5.1070000000000002</v>
      </c>
      <c r="BW32">
        <v>4.3653599999999999</v>
      </c>
      <c r="BX32">
        <v>3.9735</v>
      </c>
      <c r="BY32">
        <v>3.49668</v>
      </c>
      <c r="BZ32">
        <v>4.1444999999999999</v>
      </c>
      <c r="CA32">
        <v>3.574665</v>
      </c>
      <c r="CB32">
        <v>1.9350000000000001</v>
      </c>
      <c r="CC32">
        <v>1.6640999999999999</v>
      </c>
      <c r="CD32">
        <v>1.2222972972973001</v>
      </c>
      <c r="CE32">
        <v>2420</v>
      </c>
      <c r="CF32">
        <v>2420</v>
      </c>
    </row>
    <row r="33" spans="1:84" x14ac:dyDescent="0.3">
      <c r="A33">
        <v>22044</v>
      </c>
      <c r="B33" t="s">
        <v>260</v>
      </c>
      <c r="C33">
        <v>12.1</v>
      </c>
      <c r="D33">
        <v>87.9</v>
      </c>
      <c r="E33">
        <v>44</v>
      </c>
      <c r="F33">
        <v>38.28</v>
      </c>
      <c r="G33">
        <v>1.7</v>
      </c>
      <c r="H33">
        <v>2.2666666666666702</v>
      </c>
      <c r="I33">
        <v>0.85</v>
      </c>
      <c r="J33">
        <v>5.6</v>
      </c>
      <c r="K33">
        <v>6.84</v>
      </c>
      <c r="L33">
        <v>12.5</v>
      </c>
      <c r="M33">
        <v>7</v>
      </c>
      <c r="N33">
        <v>6.2</v>
      </c>
      <c r="O33">
        <v>30.4</v>
      </c>
      <c r="P33">
        <v>7</v>
      </c>
      <c r="Q33">
        <v>0.5</v>
      </c>
      <c r="R33">
        <v>7.5</v>
      </c>
      <c r="S33">
        <v>989.73633613766594</v>
      </c>
      <c r="T33">
        <v>2181.9584130019098</v>
      </c>
      <c r="U33">
        <v>2181.9584130019098</v>
      </c>
      <c r="V33">
        <v>2181.9584130019098</v>
      </c>
      <c r="W33">
        <v>2181.9584130019098</v>
      </c>
      <c r="X33">
        <v>0.29015999999999997</v>
      </c>
      <c r="Y33">
        <v>0.29015999999999997</v>
      </c>
      <c r="Z33">
        <v>0.61007999999999996</v>
      </c>
      <c r="AA33">
        <v>0.61007999999999996</v>
      </c>
      <c r="AB33">
        <v>0.20336000000000001</v>
      </c>
      <c r="AC33">
        <v>0.21005054400000001</v>
      </c>
      <c r="AD33">
        <v>0.26001609599999997</v>
      </c>
      <c r="AE33">
        <v>0.40002945600000001</v>
      </c>
      <c r="AF33">
        <v>600</v>
      </c>
      <c r="AG33">
        <v>5.3804119377890001E-2</v>
      </c>
      <c r="AI33">
        <v>0.01</v>
      </c>
      <c r="AJ33">
        <v>0.05</v>
      </c>
      <c r="AK33">
        <v>1.96</v>
      </c>
      <c r="AL33">
        <v>491.50037057238501</v>
      </c>
      <c r="AM33">
        <v>437.95597689916099</v>
      </c>
      <c r="AN33">
        <v>2.6751999999999998</v>
      </c>
      <c r="AO33">
        <v>2.3809279999999999</v>
      </c>
      <c r="AP33">
        <v>0.58520000000000005</v>
      </c>
      <c r="AQ33">
        <v>0.52668000000000004</v>
      </c>
      <c r="AR33">
        <v>0.62480000000000002</v>
      </c>
      <c r="AS33">
        <v>0.487344</v>
      </c>
      <c r="AT33">
        <v>1.21</v>
      </c>
      <c r="AU33">
        <v>1.014024</v>
      </c>
      <c r="AV33">
        <v>1.7270000000000001</v>
      </c>
      <c r="AW33">
        <v>1.40602</v>
      </c>
      <c r="AX33">
        <v>0.59299999999999997</v>
      </c>
      <c r="AY33">
        <v>0.52474399999999999</v>
      </c>
      <c r="AZ33">
        <v>1.994</v>
      </c>
      <c r="BA33">
        <v>1.7417400000000001</v>
      </c>
      <c r="BB33">
        <v>3.3450000000000002</v>
      </c>
      <c r="BC33">
        <v>2.871</v>
      </c>
      <c r="BD33">
        <v>2.077</v>
      </c>
      <c r="BE33">
        <v>1.7860480000000001</v>
      </c>
      <c r="BF33">
        <v>1.165</v>
      </c>
      <c r="BG33">
        <v>1.0103279999999999</v>
      </c>
      <c r="BH33">
        <v>3.2090000000000001</v>
      </c>
      <c r="BI33">
        <v>2.8908879999999999</v>
      </c>
      <c r="BJ33">
        <v>2.2440000000000002</v>
      </c>
      <c r="BK33">
        <v>1.9592320000000001</v>
      </c>
      <c r="BL33">
        <v>1.5980000000000001</v>
      </c>
      <c r="BM33">
        <v>1.4597439999999999</v>
      </c>
      <c r="BN33">
        <v>2.1859999999999999</v>
      </c>
      <c r="BO33">
        <v>1.9540839999999999</v>
      </c>
      <c r="BP33">
        <v>1.8740000000000001</v>
      </c>
      <c r="BQ33">
        <v>1.5411440000000001</v>
      </c>
      <c r="BR33">
        <v>7.8730000000000002</v>
      </c>
      <c r="BS33">
        <v>7.0289999999999999</v>
      </c>
      <c r="BT33">
        <v>2.2250000000000001</v>
      </c>
      <c r="BU33">
        <v>1.9139999999999999</v>
      </c>
      <c r="BV33">
        <v>4.99</v>
      </c>
      <c r="BW33">
        <v>4.2683520000000001</v>
      </c>
      <c r="BX33">
        <v>3.8852000000000002</v>
      </c>
      <c r="BY33">
        <v>3.4189759999999998</v>
      </c>
      <c r="BZ33">
        <v>4.0523999999999996</v>
      </c>
      <c r="CA33">
        <v>3.495228</v>
      </c>
      <c r="CB33">
        <v>1.8919999999999999</v>
      </c>
      <c r="CC33">
        <v>1.6271199999999999</v>
      </c>
      <c r="CD33">
        <v>1.224</v>
      </c>
      <c r="CE33">
        <v>2360</v>
      </c>
      <c r="CF33">
        <v>2360</v>
      </c>
    </row>
    <row r="34" spans="1:84" x14ac:dyDescent="0.3">
      <c r="A34">
        <v>22045</v>
      </c>
      <c r="B34" t="s">
        <v>14</v>
      </c>
      <c r="C34">
        <v>12.05</v>
      </c>
      <c r="D34">
        <v>87.95</v>
      </c>
      <c r="E34">
        <v>45</v>
      </c>
      <c r="F34">
        <v>39.15</v>
      </c>
      <c r="G34">
        <v>1.675</v>
      </c>
      <c r="H34">
        <v>2.26351351351351</v>
      </c>
      <c r="I34">
        <v>0.83750000000000002</v>
      </c>
      <c r="J34">
        <v>5.3</v>
      </c>
      <c r="K34">
        <v>6.84</v>
      </c>
      <c r="L34">
        <v>11.6</v>
      </c>
      <c r="M34">
        <v>6.7</v>
      </c>
      <c r="N34">
        <v>6.13</v>
      </c>
      <c r="O34">
        <v>29.844999999999999</v>
      </c>
      <c r="P34">
        <v>7</v>
      </c>
      <c r="Q34">
        <v>0.5</v>
      </c>
      <c r="R34">
        <v>7.5</v>
      </c>
      <c r="S34">
        <v>1002.46810973232</v>
      </c>
      <c r="T34">
        <v>2210.0266969407298</v>
      </c>
      <c r="U34">
        <v>2210.0266969407298</v>
      </c>
      <c r="V34">
        <v>2210.0266969407298</v>
      </c>
      <c r="W34">
        <v>2210.0266969407298</v>
      </c>
      <c r="X34">
        <v>0.28688399999999997</v>
      </c>
      <c r="Y34">
        <v>0.28688399999999997</v>
      </c>
      <c r="Z34">
        <v>0.60319199999999995</v>
      </c>
      <c r="AA34">
        <v>0.60319199999999995</v>
      </c>
      <c r="AB34">
        <v>0.20106399999999999</v>
      </c>
      <c r="AC34">
        <v>0.20767900559999999</v>
      </c>
      <c r="AD34">
        <v>0.2570804304</v>
      </c>
      <c r="AE34">
        <v>0.39551299439999998</v>
      </c>
      <c r="AF34">
        <v>610</v>
      </c>
      <c r="AG34" s="9">
        <v>6.02143757881465E-2</v>
      </c>
      <c r="AI34">
        <v>1.4999999999999999E-2</v>
      </c>
      <c r="AJ34">
        <v>0.05</v>
      </c>
      <c r="AK34">
        <v>1.98</v>
      </c>
      <c r="AL34">
        <v>498.791003506295</v>
      </c>
      <c r="AM34">
        <v>445.36476942038399</v>
      </c>
      <c r="AN34">
        <v>2.7360000000000002</v>
      </c>
      <c r="AO34">
        <v>2.4350399999999999</v>
      </c>
      <c r="AP34">
        <v>0.59850000000000003</v>
      </c>
      <c r="AQ34">
        <v>0.53864999999999996</v>
      </c>
      <c r="AR34">
        <v>0.63900000000000001</v>
      </c>
      <c r="AS34">
        <v>0.49841999999999997</v>
      </c>
      <c r="AT34">
        <v>1.2375</v>
      </c>
      <c r="AU34">
        <v>1.0370699999999999</v>
      </c>
      <c r="AV34">
        <v>1.7629999999999999</v>
      </c>
      <c r="AW34">
        <v>1.437975</v>
      </c>
      <c r="AX34">
        <v>0.60299999999999998</v>
      </c>
      <c r="AY34">
        <v>0.53666999999999998</v>
      </c>
      <c r="AZ34">
        <v>2.0430000000000001</v>
      </c>
      <c r="BA34">
        <v>1.781325</v>
      </c>
      <c r="BB34">
        <v>3.4220000000000002</v>
      </c>
      <c r="BC34">
        <v>2.9362499999999998</v>
      </c>
      <c r="BD34">
        <v>2.1230000000000002</v>
      </c>
      <c r="BE34">
        <v>1.82664</v>
      </c>
      <c r="BF34">
        <v>1.1879999999999999</v>
      </c>
      <c r="BG34">
        <v>1.03329</v>
      </c>
      <c r="BH34">
        <v>3.27</v>
      </c>
      <c r="BI34">
        <v>2.9565899999999998</v>
      </c>
      <c r="BJ34">
        <v>2.2989999999999999</v>
      </c>
      <c r="BK34">
        <v>2.0037600000000002</v>
      </c>
      <c r="BL34">
        <v>1.6559999999999999</v>
      </c>
      <c r="BM34">
        <v>1.49292</v>
      </c>
      <c r="BN34">
        <v>2.2349999999999999</v>
      </c>
      <c r="BO34">
        <v>1.9984949999999999</v>
      </c>
      <c r="BP34">
        <v>1.9119999999999999</v>
      </c>
      <c r="BQ34">
        <v>1.5761700000000001</v>
      </c>
      <c r="BR34">
        <v>8.06</v>
      </c>
      <c r="BS34">
        <v>7.1887499999999998</v>
      </c>
      <c r="BT34">
        <v>2.2719999999999998</v>
      </c>
      <c r="BU34">
        <v>1.9575</v>
      </c>
      <c r="BV34">
        <v>5.1070000000000002</v>
      </c>
      <c r="BW34">
        <v>4.3653599999999999</v>
      </c>
      <c r="BX34">
        <v>3.9735</v>
      </c>
      <c r="BY34">
        <v>3.49668</v>
      </c>
      <c r="BZ34">
        <v>4.1444999999999999</v>
      </c>
      <c r="CA34">
        <v>3.574665</v>
      </c>
      <c r="CB34">
        <v>1.9350000000000001</v>
      </c>
      <c r="CC34">
        <v>1.6640999999999999</v>
      </c>
      <c r="CD34">
        <v>1.2222972972973001</v>
      </c>
      <c r="CE34">
        <v>2385</v>
      </c>
      <c r="CF34">
        <v>2385</v>
      </c>
    </row>
    <row r="35" spans="1:84" x14ac:dyDescent="0.3">
      <c r="A35">
        <v>22046</v>
      </c>
      <c r="B35" t="s">
        <v>262</v>
      </c>
      <c r="C35">
        <v>12</v>
      </c>
      <c r="D35">
        <v>88</v>
      </c>
      <c r="E35">
        <v>46</v>
      </c>
      <c r="F35">
        <v>40.020000000000003</v>
      </c>
      <c r="G35">
        <v>1.635</v>
      </c>
      <c r="H35">
        <v>2.2397260273972601</v>
      </c>
      <c r="I35">
        <v>0.8175</v>
      </c>
      <c r="J35">
        <v>4.9000000000000004</v>
      </c>
      <c r="K35">
        <v>6.84</v>
      </c>
      <c r="L35">
        <v>10.8</v>
      </c>
      <c r="M35">
        <v>6.3</v>
      </c>
      <c r="N35">
        <v>6.06</v>
      </c>
      <c r="O35">
        <v>29.405000000000001</v>
      </c>
      <c r="P35">
        <v>7</v>
      </c>
      <c r="Q35">
        <v>0.5</v>
      </c>
      <c r="R35">
        <v>7.5</v>
      </c>
      <c r="S35">
        <v>1015.6617118738</v>
      </c>
      <c r="T35">
        <v>2239.11312141491</v>
      </c>
      <c r="U35">
        <v>2239.11312141491</v>
      </c>
      <c r="V35">
        <v>2239.11312141491</v>
      </c>
      <c r="W35">
        <v>2239.11312141491</v>
      </c>
      <c r="X35">
        <v>0.28360800000000003</v>
      </c>
      <c r="Y35">
        <v>0.28360800000000003</v>
      </c>
      <c r="Z35">
        <v>0.59630399999999995</v>
      </c>
      <c r="AA35">
        <v>0.59630399999999995</v>
      </c>
      <c r="AB35">
        <v>0.198768</v>
      </c>
      <c r="AC35">
        <v>0.20530746720000001</v>
      </c>
      <c r="AD35">
        <v>0.25414476479999998</v>
      </c>
      <c r="AE35">
        <v>0.39099653280000002</v>
      </c>
      <c r="AF35">
        <v>620</v>
      </c>
      <c r="AG35" s="9">
        <v>6.6624632198402506E-2</v>
      </c>
      <c r="AI35">
        <v>0.02</v>
      </c>
      <c r="AJ35">
        <v>0.05</v>
      </c>
      <c r="AK35">
        <v>2</v>
      </c>
      <c r="AL35">
        <v>506.08163644020402</v>
      </c>
      <c r="AM35">
        <v>452.77356194160501</v>
      </c>
      <c r="AN35">
        <v>2.7968000000000002</v>
      </c>
      <c r="AO35">
        <v>2.4891519999999998</v>
      </c>
      <c r="AP35">
        <v>0.61180000000000001</v>
      </c>
      <c r="AQ35">
        <v>0.55062</v>
      </c>
      <c r="AR35">
        <v>0.6532</v>
      </c>
      <c r="AS35">
        <v>0.50949599999999995</v>
      </c>
      <c r="AT35">
        <v>1.2649999999999999</v>
      </c>
      <c r="AU35">
        <v>1.0601160000000001</v>
      </c>
      <c r="AV35">
        <v>1.7989999999999999</v>
      </c>
      <c r="AW35">
        <v>1.46993</v>
      </c>
      <c r="AX35">
        <v>0.61299999999999999</v>
      </c>
      <c r="AY35">
        <v>0.54859599999999997</v>
      </c>
      <c r="AZ35">
        <v>2.0920000000000001</v>
      </c>
      <c r="BA35">
        <v>1.82091</v>
      </c>
      <c r="BB35">
        <v>3.4990000000000001</v>
      </c>
      <c r="BC35">
        <v>3.0015000000000001</v>
      </c>
      <c r="BD35">
        <v>2.169</v>
      </c>
      <c r="BE35">
        <v>1.867232</v>
      </c>
      <c r="BF35">
        <v>1.2110000000000001</v>
      </c>
      <c r="BG35">
        <v>1.056252</v>
      </c>
      <c r="BH35">
        <v>3.331</v>
      </c>
      <c r="BI35">
        <v>3.0222920000000002</v>
      </c>
      <c r="BJ35">
        <v>2.3540000000000001</v>
      </c>
      <c r="BK35">
        <v>2.0482879999999999</v>
      </c>
      <c r="BL35">
        <v>1.714</v>
      </c>
      <c r="BM35">
        <v>1.5260959999999999</v>
      </c>
      <c r="BN35">
        <v>2.2839999999999998</v>
      </c>
      <c r="BO35">
        <v>2.0429059999999999</v>
      </c>
      <c r="BP35">
        <v>1.95</v>
      </c>
      <c r="BQ35">
        <v>1.6111960000000001</v>
      </c>
      <c r="BR35">
        <v>8.2469999999999999</v>
      </c>
      <c r="BS35">
        <v>7.3484999999999996</v>
      </c>
      <c r="BT35">
        <v>2.319</v>
      </c>
      <c r="BU35">
        <v>2.0009999999999999</v>
      </c>
      <c r="BV35">
        <v>5.2240000000000002</v>
      </c>
      <c r="BW35">
        <v>4.4623679999999997</v>
      </c>
      <c r="BX35">
        <v>4.0617999999999999</v>
      </c>
      <c r="BY35">
        <v>3.5743839999999998</v>
      </c>
      <c r="BZ35">
        <v>4.2366000000000001</v>
      </c>
      <c r="CA35">
        <v>3.654102</v>
      </c>
      <c r="CB35">
        <v>1.978</v>
      </c>
      <c r="CC35">
        <v>1.7010799999999999</v>
      </c>
      <c r="CD35">
        <v>1.20945205479452</v>
      </c>
      <c r="CE35">
        <v>2410</v>
      </c>
      <c r="CF35">
        <v>2410</v>
      </c>
    </row>
    <row r="36" spans="1:84" x14ac:dyDescent="0.3">
      <c r="A36">
        <v>22047</v>
      </c>
      <c r="B36" t="s">
        <v>263</v>
      </c>
      <c r="C36">
        <v>11.9</v>
      </c>
      <c r="D36">
        <v>88.1</v>
      </c>
      <c r="E36">
        <v>46.9</v>
      </c>
      <c r="F36">
        <v>40.802999999999997</v>
      </c>
      <c r="G36">
        <v>1.6</v>
      </c>
      <c r="H36">
        <v>2.2222222222222201</v>
      </c>
      <c r="I36">
        <v>0.8</v>
      </c>
      <c r="J36">
        <v>4.5999999999999996</v>
      </c>
      <c r="K36">
        <v>6.84</v>
      </c>
      <c r="L36">
        <v>10</v>
      </c>
      <c r="M36">
        <v>6</v>
      </c>
      <c r="N36">
        <v>6</v>
      </c>
      <c r="O36">
        <v>29</v>
      </c>
      <c r="P36">
        <v>7</v>
      </c>
      <c r="Q36">
        <v>0.5</v>
      </c>
      <c r="R36">
        <v>7.5</v>
      </c>
      <c r="S36">
        <v>1045.0156921606099</v>
      </c>
      <c r="T36">
        <v>2303.8264818355601</v>
      </c>
      <c r="U36">
        <v>2303.8264818355601</v>
      </c>
      <c r="V36">
        <v>2303.8264818355601</v>
      </c>
      <c r="W36">
        <v>2303.8264818355601</v>
      </c>
      <c r="X36">
        <v>0.2898</v>
      </c>
      <c r="Y36">
        <v>0.2898</v>
      </c>
      <c r="Z36">
        <v>0.64019999999999999</v>
      </c>
      <c r="AA36">
        <v>0.64019999999999999</v>
      </c>
      <c r="AB36">
        <v>0.21340000000000001</v>
      </c>
      <c r="AC36">
        <v>0.22003674000000001</v>
      </c>
      <c r="AD36">
        <v>0.27010037999999997</v>
      </c>
      <c r="AE36">
        <v>0.42016325999999998</v>
      </c>
      <c r="AF36">
        <v>630</v>
      </c>
      <c r="AG36" s="9">
        <v>6.6624632198402506E-2</v>
      </c>
      <c r="AI36">
        <v>0.02</v>
      </c>
      <c r="AJ36">
        <v>0.05</v>
      </c>
      <c r="AK36">
        <v>2.02</v>
      </c>
      <c r="AL36">
        <v>511.19646432624597</v>
      </c>
      <c r="AM36">
        <v>470.64317539032101</v>
      </c>
      <c r="AN36">
        <v>2.8515199999999998</v>
      </c>
      <c r="AO36">
        <v>2.5378528</v>
      </c>
      <c r="AP36">
        <v>0.62377000000000005</v>
      </c>
      <c r="AQ36">
        <v>0.56139300000000003</v>
      </c>
      <c r="AR36">
        <v>0.66598000000000002</v>
      </c>
      <c r="AS36">
        <v>0.51946440000000005</v>
      </c>
      <c r="AT36">
        <v>1.28975</v>
      </c>
      <c r="AU36">
        <v>1.0808574</v>
      </c>
      <c r="AV36">
        <v>1.8313999999999999</v>
      </c>
      <c r="AW36">
        <v>1.4986895</v>
      </c>
      <c r="AX36">
        <v>0.622</v>
      </c>
      <c r="AY36">
        <v>0.55932939999999998</v>
      </c>
      <c r="AZ36">
        <v>2.1360999999999999</v>
      </c>
      <c r="BA36">
        <v>1.8565365</v>
      </c>
      <c r="BB36">
        <v>3.5682999999999998</v>
      </c>
      <c r="BC36">
        <v>3.060225</v>
      </c>
      <c r="BD36">
        <v>2.2103999999999999</v>
      </c>
      <c r="BE36">
        <v>1.9037648</v>
      </c>
      <c r="BF36">
        <v>1.2317</v>
      </c>
      <c r="BG36">
        <v>1.0769177999999999</v>
      </c>
      <c r="BH36">
        <v>3.3858999999999999</v>
      </c>
      <c r="BI36">
        <v>3.0814238</v>
      </c>
      <c r="BJ36">
        <v>2.4035000000000002</v>
      </c>
      <c r="BK36">
        <v>2.0883631999999999</v>
      </c>
      <c r="BL36">
        <v>1.7662</v>
      </c>
      <c r="BM36">
        <v>1.5559544000000001</v>
      </c>
      <c r="BN36">
        <v>2.3281000000000001</v>
      </c>
      <c r="BO36">
        <v>2.0828758999999999</v>
      </c>
      <c r="BP36">
        <v>1.9842</v>
      </c>
      <c r="BQ36">
        <v>1.6427194000000001</v>
      </c>
      <c r="BR36">
        <v>8.4153000000000002</v>
      </c>
      <c r="BS36">
        <v>7.4922750000000002</v>
      </c>
      <c r="BT36">
        <v>2.3613</v>
      </c>
      <c r="BU36">
        <v>2.0401500000000001</v>
      </c>
      <c r="BV36">
        <v>5.3292999999999999</v>
      </c>
      <c r="BW36">
        <v>4.5496752000000003</v>
      </c>
      <c r="BX36">
        <v>4.1412699999999996</v>
      </c>
      <c r="BY36">
        <v>3.6443175999999999</v>
      </c>
      <c r="BZ36">
        <v>4.3194900000000001</v>
      </c>
      <c r="CA36">
        <v>3.7255953000000002</v>
      </c>
      <c r="CB36">
        <v>2.0167000000000002</v>
      </c>
      <c r="CC36">
        <v>1.734362</v>
      </c>
      <c r="CD36">
        <v>1.2</v>
      </c>
      <c r="CE36">
        <v>2430</v>
      </c>
      <c r="CF36">
        <v>2430</v>
      </c>
    </row>
    <row r="37" spans="1:84" x14ac:dyDescent="0.3">
      <c r="A37">
        <v>22048</v>
      </c>
      <c r="B37" t="s">
        <v>264</v>
      </c>
      <c r="C37">
        <v>11.8</v>
      </c>
      <c r="D37">
        <v>88.2</v>
      </c>
      <c r="E37">
        <v>47.7</v>
      </c>
      <c r="F37">
        <v>41.499000000000002</v>
      </c>
      <c r="G37">
        <v>1.5</v>
      </c>
      <c r="H37">
        <v>2.1126760563380298</v>
      </c>
      <c r="I37">
        <v>0.75</v>
      </c>
      <c r="J37">
        <v>4.3</v>
      </c>
      <c r="K37">
        <v>6.84</v>
      </c>
      <c r="L37">
        <v>9.1999999999999993</v>
      </c>
      <c r="M37">
        <v>5.7</v>
      </c>
      <c r="N37">
        <v>5.94</v>
      </c>
      <c r="O37">
        <v>28.76</v>
      </c>
      <c r="P37">
        <v>7</v>
      </c>
      <c r="Q37">
        <v>0.5</v>
      </c>
      <c r="R37">
        <v>7.5</v>
      </c>
      <c r="S37">
        <v>1037.3773023326901</v>
      </c>
      <c r="T37">
        <v>2286.9869980879498</v>
      </c>
      <c r="U37">
        <v>2286.9869980879498</v>
      </c>
      <c r="V37">
        <v>2286.9869980879498</v>
      </c>
      <c r="W37">
        <v>2286.9869980879498</v>
      </c>
      <c r="X37">
        <v>0.28690199999999999</v>
      </c>
      <c r="Y37">
        <v>0.28690199999999999</v>
      </c>
      <c r="Z37">
        <v>0.63379799999999997</v>
      </c>
      <c r="AA37">
        <v>0.63379799999999997</v>
      </c>
      <c r="AB37">
        <v>0.21126600000000001</v>
      </c>
      <c r="AC37">
        <v>0.21783637259999999</v>
      </c>
      <c r="AD37">
        <v>0.26739937619999998</v>
      </c>
      <c r="AE37">
        <v>0.41596162739999998</v>
      </c>
      <c r="AF37">
        <v>640</v>
      </c>
      <c r="AG37" s="9">
        <v>6.6624632198402506E-2</v>
      </c>
      <c r="AI37">
        <v>0.02</v>
      </c>
      <c r="AJ37">
        <v>0.05</v>
      </c>
      <c r="AK37">
        <v>2.0499999999999998</v>
      </c>
      <c r="AL37">
        <v>518.86870615530904</v>
      </c>
      <c r="AM37">
        <v>478.47124652441602</v>
      </c>
      <c r="AN37">
        <v>2.9001600000000001</v>
      </c>
      <c r="AO37">
        <v>2.5811424000000001</v>
      </c>
      <c r="AP37">
        <v>0.63441000000000003</v>
      </c>
      <c r="AQ37">
        <v>0.57096899999999995</v>
      </c>
      <c r="AR37">
        <v>0.67734000000000005</v>
      </c>
      <c r="AS37">
        <v>0.52832520000000005</v>
      </c>
      <c r="AT37">
        <v>1.31175</v>
      </c>
      <c r="AU37">
        <v>1.0992942000000001</v>
      </c>
      <c r="AV37">
        <v>1.8602000000000001</v>
      </c>
      <c r="AW37">
        <v>1.5242534999999999</v>
      </c>
      <c r="AX37">
        <v>0.63</v>
      </c>
      <c r="AY37">
        <v>0.56887019999999999</v>
      </c>
      <c r="AZ37">
        <v>2.1753</v>
      </c>
      <c r="BA37">
        <v>1.8882045000000001</v>
      </c>
      <c r="BB37">
        <v>3.6299000000000001</v>
      </c>
      <c r="BC37">
        <v>3.112425</v>
      </c>
      <c r="BD37">
        <v>2.2471999999999999</v>
      </c>
      <c r="BE37">
        <v>1.9362383999999999</v>
      </c>
      <c r="BF37">
        <v>1.2501</v>
      </c>
      <c r="BG37">
        <v>1.0952873999999999</v>
      </c>
      <c r="BH37">
        <v>3.4346999999999999</v>
      </c>
      <c r="BI37">
        <v>3.1339853999999998</v>
      </c>
      <c r="BJ37">
        <v>2.4474999999999998</v>
      </c>
      <c r="BK37">
        <v>2.1239856000000001</v>
      </c>
      <c r="BL37">
        <v>1.8126</v>
      </c>
      <c r="BM37">
        <v>1.5824952000000001</v>
      </c>
      <c r="BN37">
        <v>2.3673000000000002</v>
      </c>
      <c r="BO37">
        <v>2.1184047000000001</v>
      </c>
      <c r="BP37">
        <v>2.0146000000000002</v>
      </c>
      <c r="BQ37">
        <v>1.6707402</v>
      </c>
      <c r="BR37">
        <v>8.5648999999999997</v>
      </c>
      <c r="BS37">
        <v>7.6200749999999999</v>
      </c>
      <c r="BT37">
        <v>2.3988999999999998</v>
      </c>
      <c r="BU37">
        <v>2.0749499999999999</v>
      </c>
      <c r="BV37">
        <v>5.4229000000000003</v>
      </c>
      <c r="BW37">
        <v>4.6272815999999999</v>
      </c>
      <c r="BX37">
        <v>4.2119099999999996</v>
      </c>
      <c r="BY37">
        <v>3.7064808</v>
      </c>
      <c r="BZ37">
        <v>4.3931699999999996</v>
      </c>
      <c r="CA37">
        <v>3.7891449000000001</v>
      </c>
      <c r="CB37">
        <v>2.0510999999999999</v>
      </c>
      <c r="CC37">
        <v>1.763946</v>
      </c>
      <c r="CD37">
        <v>1.1408450704225399</v>
      </c>
      <c r="CE37">
        <v>2455</v>
      </c>
      <c r="CF37">
        <v>2455</v>
      </c>
    </row>
    <row r="38" spans="1:84" x14ac:dyDescent="0.3">
      <c r="A38">
        <v>22049</v>
      </c>
      <c r="B38" t="s">
        <v>265</v>
      </c>
      <c r="C38">
        <v>11.7</v>
      </c>
      <c r="D38">
        <v>88.3</v>
      </c>
      <c r="E38">
        <v>48.5</v>
      </c>
      <c r="F38">
        <v>42.195</v>
      </c>
      <c r="G38">
        <v>1.5</v>
      </c>
      <c r="H38">
        <v>2.1428571428571401</v>
      </c>
      <c r="I38">
        <v>0.75</v>
      </c>
      <c r="J38">
        <v>4</v>
      </c>
      <c r="K38">
        <v>6.84</v>
      </c>
      <c r="L38">
        <v>8.4</v>
      </c>
      <c r="M38">
        <v>5.4</v>
      </c>
      <c r="N38">
        <v>5.88</v>
      </c>
      <c r="O38">
        <v>28.42</v>
      </c>
      <c r="P38">
        <v>7</v>
      </c>
      <c r="R38">
        <v>7</v>
      </c>
      <c r="S38">
        <v>1048.6866865009599</v>
      </c>
      <c r="T38">
        <v>2311.9195028680701</v>
      </c>
      <c r="U38">
        <v>2311.9195028680701</v>
      </c>
      <c r="V38">
        <v>2311.9195028680701</v>
      </c>
      <c r="W38">
        <v>2311.9195028680701</v>
      </c>
      <c r="X38">
        <v>0.28400399999999998</v>
      </c>
      <c r="Y38">
        <v>0.28400399999999998</v>
      </c>
      <c r="Z38">
        <v>0.62739599999999995</v>
      </c>
      <c r="AA38">
        <v>0.62739599999999995</v>
      </c>
      <c r="AB38">
        <v>0.20913200000000001</v>
      </c>
      <c r="AC38">
        <v>0.21563600520000001</v>
      </c>
      <c r="AD38">
        <v>0.26469837239999999</v>
      </c>
      <c r="AE38">
        <v>0.41175999479999997</v>
      </c>
      <c r="AF38">
        <v>650</v>
      </c>
      <c r="AG38" s="9">
        <v>6.6624632198402506E-2</v>
      </c>
      <c r="AI38">
        <v>0.02</v>
      </c>
      <c r="AJ38">
        <v>0.05</v>
      </c>
      <c r="AK38">
        <v>2.1</v>
      </c>
      <c r="AL38">
        <v>531.65577587041298</v>
      </c>
      <c r="AM38">
        <v>491.41414554455298</v>
      </c>
      <c r="AN38">
        <v>2.9487999999999999</v>
      </c>
      <c r="AO38">
        <v>2.6244320000000001</v>
      </c>
      <c r="AP38">
        <v>0.64505000000000001</v>
      </c>
      <c r="AQ38">
        <v>0.58054499999999998</v>
      </c>
      <c r="AR38">
        <v>0.68869999999999998</v>
      </c>
      <c r="AS38">
        <v>0.53718600000000005</v>
      </c>
      <c r="AT38">
        <v>1.33375</v>
      </c>
      <c r="AU38">
        <v>1.117731</v>
      </c>
      <c r="AV38">
        <v>1.889</v>
      </c>
      <c r="AW38">
        <v>1.5498175000000001</v>
      </c>
      <c r="AX38">
        <v>0.63800000000000001</v>
      </c>
      <c r="AY38">
        <v>0.57841100000000001</v>
      </c>
      <c r="AZ38">
        <v>2.2145000000000001</v>
      </c>
      <c r="BA38">
        <v>1.9198725000000001</v>
      </c>
      <c r="BB38">
        <v>3.6915</v>
      </c>
      <c r="BC38">
        <v>3.164625</v>
      </c>
      <c r="BD38">
        <v>2.2839999999999998</v>
      </c>
      <c r="BE38">
        <v>1.968712</v>
      </c>
      <c r="BF38">
        <v>1.2685</v>
      </c>
      <c r="BG38">
        <v>1.1136569999999999</v>
      </c>
      <c r="BH38">
        <v>3.4834999999999998</v>
      </c>
      <c r="BI38">
        <v>3.186547</v>
      </c>
      <c r="BJ38">
        <v>2.4914999999999998</v>
      </c>
      <c r="BK38">
        <v>2.159608</v>
      </c>
      <c r="BL38">
        <v>1.859</v>
      </c>
      <c r="BM38">
        <v>1.6090359999999999</v>
      </c>
      <c r="BN38">
        <v>2.4064999999999999</v>
      </c>
      <c r="BO38">
        <v>2.1539334999999999</v>
      </c>
      <c r="BP38">
        <v>2.0449999999999999</v>
      </c>
      <c r="BQ38">
        <v>1.698761</v>
      </c>
      <c r="BR38">
        <v>8.7144999999999992</v>
      </c>
      <c r="BS38">
        <v>7.7478749999999996</v>
      </c>
      <c r="BT38">
        <v>2.4365000000000001</v>
      </c>
      <c r="BU38">
        <v>2.10975</v>
      </c>
      <c r="BV38">
        <v>5.5164999999999997</v>
      </c>
      <c r="BW38">
        <v>4.7048880000000004</v>
      </c>
      <c r="BX38">
        <v>4.2825499999999996</v>
      </c>
      <c r="BY38">
        <v>3.7686440000000001</v>
      </c>
      <c r="BZ38">
        <v>4.46685</v>
      </c>
      <c r="CA38">
        <v>3.8526945000000001</v>
      </c>
      <c r="CB38">
        <v>2.0855000000000001</v>
      </c>
      <c r="CC38">
        <v>1.7935300000000001</v>
      </c>
      <c r="CD38">
        <v>1.1571428571428599</v>
      </c>
      <c r="CE38">
        <v>2480</v>
      </c>
      <c r="CF38">
        <v>2480</v>
      </c>
    </row>
    <row r="39" spans="1:84" x14ac:dyDescent="0.3">
      <c r="A39">
        <v>22500</v>
      </c>
      <c r="B39" t="s">
        <v>266</v>
      </c>
      <c r="C39">
        <v>8.1</v>
      </c>
      <c r="D39">
        <v>91.9</v>
      </c>
      <c r="E39">
        <v>53</v>
      </c>
      <c r="F39">
        <v>46.11</v>
      </c>
      <c r="G39">
        <v>1.1000000000000001</v>
      </c>
      <c r="H39">
        <v>1.6923076923076901</v>
      </c>
      <c r="I39">
        <v>0.55000000000000004</v>
      </c>
      <c r="J39">
        <v>4</v>
      </c>
      <c r="K39">
        <v>6.84</v>
      </c>
      <c r="L39">
        <v>9.1</v>
      </c>
      <c r="M39">
        <v>5.6</v>
      </c>
      <c r="N39">
        <v>6.9</v>
      </c>
      <c r="O39">
        <v>26.9</v>
      </c>
      <c r="P39">
        <v>5</v>
      </c>
      <c r="R39">
        <v>5</v>
      </c>
      <c r="S39">
        <v>1118.5830206501</v>
      </c>
      <c r="T39">
        <v>2466.0119502868101</v>
      </c>
      <c r="U39">
        <v>2466.0119502868101</v>
      </c>
      <c r="V39">
        <v>2466.0119502868101</v>
      </c>
      <c r="W39">
        <v>2466.0119502868101</v>
      </c>
      <c r="X39">
        <v>0.28772999999999999</v>
      </c>
      <c r="Y39">
        <v>0.28772999999999999</v>
      </c>
      <c r="Z39">
        <v>0.78176999999999996</v>
      </c>
      <c r="AA39">
        <v>0.78176999999999996</v>
      </c>
      <c r="AB39">
        <v>0.26058999999999999</v>
      </c>
      <c r="AC39">
        <v>0.31044086700000001</v>
      </c>
      <c r="AD39">
        <v>0.33342490499999999</v>
      </c>
      <c r="AE39">
        <v>0.47132913300000001</v>
      </c>
      <c r="AF39">
        <v>680</v>
      </c>
      <c r="AG39" s="9">
        <v>6.6624632198402506E-2</v>
      </c>
      <c r="AI39">
        <v>0.02</v>
      </c>
      <c r="AJ39">
        <v>0.05</v>
      </c>
      <c r="AK39">
        <v>2.14</v>
      </c>
      <c r="AL39">
        <v>541.88543164249597</v>
      </c>
      <c r="AM39">
        <v>449.50905183749398</v>
      </c>
      <c r="AN39">
        <v>3.2223999999999999</v>
      </c>
      <c r="AO39">
        <v>2.8679359999999998</v>
      </c>
      <c r="AP39">
        <v>0.70489999999999997</v>
      </c>
      <c r="AQ39">
        <v>0.63441000000000003</v>
      </c>
      <c r="AR39">
        <v>0.75260000000000005</v>
      </c>
      <c r="AS39">
        <v>0.58702799999999999</v>
      </c>
      <c r="AT39">
        <v>1.4575</v>
      </c>
      <c r="AU39">
        <v>1.221438</v>
      </c>
      <c r="AV39">
        <v>2.0510000000000002</v>
      </c>
      <c r="AW39">
        <v>1.6936150000000001</v>
      </c>
      <c r="AX39">
        <v>0.68300000000000005</v>
      </c>
      <c r="AY39">
        <v>0.63207800000000003</v>
      </c>
      <c r="AZ39">
        <v>2.4350000000000001</v>
      </c>
      <c r="BA39">
        <v>2.0980050000000001</v>
      </c>
      <c r="BB39">
        <v>4.0380000000000003</v>
      </c>
      <c r="BC39">
        <v>3.45825</v>
      </c>
      <c r="BD39">
        <v>2.4910000000000001</v>
      </c>
      <c r="BE39">
        <v>2.151376</v>
      </c>
      <c r="BF39">
        <v>1.3720000000000001</v>
      </c>
      <c r="BG39">
        <v>1.2169859999999999</v>
      </c>
      <c r="BH39">
        <v>3.758</v>
      </c>
      <c r="BI39">
        <v>3.4822060000000001</v>
      </c>
      <c r="BJ39">
        <v>2.7389999999999999</v>
      </c>
      <c r="BK39">
        <v>2.3599839999999999</v>
      </c>
      <c r="BL39">
        <v>2.12</v>
      </c>
      <c r="BM39">
        <v>1.7583279999999999</v>
      </c>
      <c r="BN39">
        <v>2.6269999999999998</v>
      </c>
      <c r="BO39">
        <v>2.353783</v>
      </c>
      <c r="BP39">
        <v>2.2160000000000002</v>
      </c>
      <c r="BQ39">
        <v>1.8563780000000001</v>
      </c>
      <c r="BR39">
        <v>9.5559999999999992</v>
      </c>
      <c r="BS39">
        <v>8.4667499999999993</v>
      </c>
      <c r="BT39">
        <v>2.6480000000000001</v>
      </c>
      <c r="BU39">
        <v>2.3285550000000002</v>
      </c>
      <c r="BV39">
        <v>6.0430000000000001</v>
      </c>
      <c r="BW39">
        <v>5.1414239999999998</v>
      </c>
      <c r="BX39">
        <v>4.6798999999999999</v>
      </c>
      <c r="BY39">
        <v>4.1183120000000004</v>
      </c>
      <c r="BZ39">
        <v>4.8813000000000004</v>
      </c>
      <c r="CA39">
        <v>4.2101610000000003</v>
      </c>
      <c r="CB39">
        <v>2.2896000000000001</v>
      </c>
      <c r="CC39">
        <v>1.9690559999999999</v>
      </c>
      <c r="CD39">
        <v>0.91384615384615298</v>
      </c>
      <c r="CE39">
        <v>2866</v>
      </c>
      <c r="CF39">
        <v>2866</v>
      </c>
    </row>
    <row r="40" spans="1:84" x14ac:dyDescent="0.3">
      <c r="A40">
        <v>22505</v>
      </c>
      <c r="B40" t="s">
        <v>267</v>
      </c>
      <c r="C40">
        <v>7</v>
      </c>
      <c r="D40">
        <v>93</v>
      </c>
      <c r="E40">
        <v>60</v>
      </c>
      <c r="F40">
        <v>52.2</v>
      </c>
      <c r="G40">
        <v>1</v>
      </c>
      <c r="H40">
        <v>1.5384615384615401</v>
      </c>
      <c r="I40">
        <v>0.5</v>
      </c>
      <c r="J40">
        <v>4.5</v>
      </c>
      <c r="K40">
        <v>6.84</v>
      </c>
      <c r="L40">
        <v>12</v>
      </c>
      <c r="M40">
        <v>7</v>
      </c>
      <c r="N40">
        <v>6</v>
      </c>
      <c r="O40">
        <v>21.5</v>
      </c>
      <c r="P40">
        <v>5</v>
      </c>
      <c r="R40">
        <v>5</v>
      </c>
      <c r="S40">
        <v>1197.9463250478</v>
      </c>
      <c r="T40">
        <v>2640.9751434034401</v>
      </c>
      <c r="U40">
        <v>2640.9751434034401</v>
      </c>
      <c r="V40">
        <v>2640.9751434034401</v>
      </c>
      <c r="W40">
        <v>2640.9751434034401</v>
      </c>
      <c r="X40">
        <v>0.2172</v>
      </c>
      <c r="Y40">
        <v>0.2172</v>
      </c>
      <c r="Z40">
        <v>0.62580000000000002</v>
      </c>
      <c r="AA40">
        <v>0.62580000000000002</v>
      </c>
      <c r="AB40">
        <v>0.20860000000000001</v>
      </c>
      <c r="AC40">
        <v>0.26946947999999998</v>
      </c>
      <c r="AD40">
        <v>0.23467499999999999</v>
      </c>
      <c r="AE40">
        <v>0.35633051999999998</v>
      </c>
      <c r="AF40">
        <v>500</v>
      </c>
      <c r="AG40">
        <v>0.105086170659941</v>
      </c>
      <c r="AI40">
        <v>0.05</v>
      </c>
      <c r="AJ40">
        <v>0.05</v>
      </c>
      <c r="AK40">
        <v>2.2000000000000002</v>
      </c>
      <c r="AL40">
        <v>570.28474558782705</v>
      </c>
      <c r="AM40">
        <v>393.391989686746</v>
      </c>
      <c r="AN40">
        <v>3.7429999999999999</v>
      </c>
      <c r="AO40">
        <v>3.2841</v>
      </c>
      <c r="AP40">
        <v>0.83599999999999997</v>
      </c>
      <c r="AQ40">
        <v>0.72360000000000002</v>
      </c>
      <c r="AR40">
        <v>0.77900000000000003</v>
      </c>
      <c r="AS40">
        <v>0.69221999999999995</v>
      </c>
      <c r="AT40">
        <v>1.615</v>
      </c>
      <c r="AU40">
        <v>1.4158200000000001</v>
      </c>
      <c r="AV40">
        <v>2.375</v>
      </c>
      <c r="AW40">
        <v>1.9605600000000001</v>
      </c>
      <c r="AX40">
        <v>0.78700000000000003</v>
      </c>
      <c r="AY40">
        <v>0.67596000000000001</v>
      </c>
      <c r="AZ40">
        <v>2.7909999999999999</v>
      </c>
      <c r="BA40">
        <v>2.3715000000000002</v>
      </c>
      <c r="BB40">
        <v>4.6950000000000003</v>
      </c>
      <c r="BC40">
        <v>4.11714</v>
      </c>
      <c r="BD40">
        <v>2.9169999999999998</v>
      </c>
      <c r="BE40">
        <v>2.5811999999999999</v>
      </c>
      <c r="BF40">
        <v>1.5640000000000001</v>
      </c>
      <c r="BG40">
        <v>1.3572</v>
      </c>
      <c r="BH40">
        <v>4.4390000000000001</v>
      </c>
      <c r="BI40">
        <v>3.8367</v>
      </c>
      <c r="BJ40">
        <v>3.1120000000000001</v>
      </c>
      <c r="BK40">
        <v>2.6522399999999999</v>
      </c>
      <c r="BL40">
        <v>2.16</v>
      </c>
      <c r="BM40">
        <v>1.9008</v>
      </c>
      <c r="BN40">
        <v>3.0550000000000002</v>
      </c>
      <c r="BO40">
        <v>2.5954799999999998</v>
      </c>
      <c r="BP40">
        <v>2.5110000000000001</v>
      </c>
      <c r="BQ40">
        <v>2.1218400000000002</v>
      </c>
      <c r="BR40">
        <v>10.836</v>
      </c>
      <c r="BS40">
        <v>9.6440400000000004</v>
      </c>
      <c r="BT40">
        <v>3.1059999999999999</v>
      </c>
      <c r="BU40">
        <v>2.8372799999999998</v>
      </c>
      <c r="BV40">
        <v>6.8940000000000001</v>
      </c>
      <c r="BX40">
        <v>5.2439999999999998</v>
      </c>
      <c r="BY40">
        <v>4.5530400000000002</v>
      </c>
      <c r="BZ40">
        <v>5.5439999999999996</v>
      </c>
      <c r="CA40">
        <v>4.71732</v>
      </c>
      <c r="CB40">
        <v>2.58</v>
      </c>
      <c r="CD40">
        <v>0.83076923076923204</v>
      </c>
      <c r="CE40">
        <v>15</v>
      </c>
      <c r="CF40">
        <v>15</v>
      </c>
    </row>
    <row r="41" spans="1:84" x14ac:dyDescent="0.3">
      <c r="A41">
        <v>22510</v>
      </c>
      <c r="B41" t="s">
        <v>268</v>
      </c>
      <c r="C41">
        <v>7</v>
      </c>
      <c r="D41">
        <v>93</v>
      </c>
      <c r="E41">
        <v>63.5</v>
      </c>
      <c r="F41">
        <v>55.244999999999997</v>
      </c>
      <c r="G41">
        <v>1</v>
      </c>
      <c r="H41">
        <v>1.5384615384615401</v>
      </c>
      <c r="I41">
        <v>0.5</v>
      </c>
      <c r="J41">
        <v>4</v>
      </c>
      <c r="K41">
        <v>6.84</v>
      </c>
      <c r="L41">
        <v>9</v>
      </c>
      <c r="M41">
        <v>5.5</v>
      </c>
      <c r="N41">
        <v>6</v>
      </c>
      <c r="O41">
        <v>18.5</v>
      </c>
      <c r="P41">
        <v>5</v>
      </c>
      <c r="R41">
        <v>5</v>
      </c>
      <c r="S41">
        <v>1237.1994206500999</v>
      </c>
      <c r="T41">
        <v>2727.5119502868101</v>
      </c>
      <c r="U41">
        <v>2727.5119502868101</v>
      </c>
      <c r="V41">
        <v>2727.5119502868101</v>
      </c>
      <c r="W41">
        <v>2727.5119502868101</v>
      </c>
      <c r="X41">
        <v>0.2172</v>
      </c>
      <c r="Y41">
        <v>0.2172</v>
      </c>
      <c r="Z41">
        <v>0.62580000000000002</v>
      </c>
      <c r="AA41">
        <v>0.62580000000000002</v>
      </c>
      <c r="AB41">
        <v>0.20860000000000001</v>
      </c>
      <c r="AC41">
        <v>0.26946947999999998</v>
      </c>
      <c r="AD41">
        <v>0.23467499999999999</v>
      </c>
      <c r="AE41">
        <v>0.35633051999999998</v>
      </c>
      <c r="AF41">
        <v>450</v>
      </c>
      <c r="AG41">
        <v>0.105086170659941</v>
      </c>
      <c r="AI41">
        <v>0.05</v>
      </c>
      <c r="AJ41">
        <v>0.05</v>
      </c>
      <c r="AK41">
        <v>2.2000000000000002</v>
      </c>
      <c r="AL41">
        <v>570.28474558782705</v>
      </c>
      <c r="AM41">
        <v>766.30865635341297</v>
      </c>
      <c r="AN41">
        <v>3.9950000000000001</v>
      </c>
      <c r="AO41">
        <v>3.4756724999999999</v>
      </c>
      <c r="AP41">
        <v>0.89200000000000002</v>
      </c>
      <c r="AQ41">
        <v>0.76580999999999999</v>
      </c>
      <c r="AR41">
        <v>0.82099999999999995</v>
      </c>
      <c r="AS41">
        <v>0.73259949999999996</v>
      </c>
      <c r="AT41">
        <v>1.7130000000000001</v>
      </c>
      <c r="AU41">
        <v>1.4984094999999999</v>
      </c>
      <c r="AV41">
        <v>2.5219999999999998</v>
      </c>
      <c r="AW41">
        <v>2.074926</v>
      </c>
      <c r="AX41">
        <v>0.82550000000000001</v>
      </c>
      <c r="AY41">
        <v>0.715391</v>
      </c>
      <c r="AZ41">
        <v>2.9485000000000001</v>
      </c>
      <c r="BA41">
        <v>2.5098375000000002</v>
      </c>
      <c r="BB41">
        <v>4.9855</v>
      </c>
      <c r="BC41">
        <v>4.3573065</v>
      </c>
      <c r="BD41">
        <v>3.0884999999999998</v>
      </c>
      <c r="BE41">
        <v>2.73177</v>
      </c>
      <c r="BF41">
        <v>1.6585000000000001</v>
      </c>
      <c r="BG41">
        <v>1.4363699999999999</v>
      </c>
      <c r="BH41">
        <v>4.7190000000000003</v>
      </c>
      <c r="BI41">
        <v>4.0605074999999999</v>
      </c>
      <c r="BJ41">
        <v>3.2869999999999999</v>
      </c>
      <c r="BK41">
        <v>2.8069540000000002</v>
      </c>
      <c r="BL41">
        <v>2.286</v>
      </c>
      <c r="BM41">
        <v>2.0116800000000001</v>
      </c>
      <c r="BN41">
        <v>3.2509999999999999</v>
      </c>
      <c r="BO41">
        <v>2.746883</v>
      </c>
      <c r="BP41">
        <v>2.6509999999999998</v>
      </c>
      <c r="BQ41">
        <v>2.2456140000000002</v>
      </c>
      <c r="BR41">
        <v>11.4695</v>
      </c>
      <c r="BS41">
        <v>10.206609</v>
      </c>
      <c r="BT41">
        <v>3.2774999999999999</v>
      </c>
      <c r="BU41">
        <v>3.0027879999999998</v>
      </c>
      <c r="BV41">
        <v>7.3</v>
      </c>
      <c r="BX41">
        <v>5.5499000000000001</v>
      </c>
      <c r="BY41">
        <v>4.8186340000000003</v>
      </c>
      <c r="BZ41">
        <v>5.8673999999999999</v>
      </c>
      <c r="CA41">
        <v>4.9924970000000002</v>
      </c>
      <c r="CB41">
        <v>2.7305000000000001</v>
      </c>
      <c r="CD41">
        <v>0.83076923076923204</v>
      </c>
      <c r="CE41">
        <v>2</v>
      </c>
      <c r="CF41">
        <v>2</v>
      </c>
    </row>
    <row r="42" spans="1:84" x14ac:dyDescent="0.3">
      <c r="A42">
        <v>22520</v>
      </c>
      <c r="B42" t="s">
        <v>269</v>
      </c>
      <c r="C42">
        <v>6.6</v>
      </c>
      <c r="D42">
        <v>93.4</v>
      </c>
      <c r="E42">
        <v>87</v>
      </c>
      <c r="F42">
        <v>75.69</v>
      </c>
      <c r="G42">
        <v>0.5</v>
      </c>
      <c r="H42">
        <v>0.76923076923076905</v>
      </c>
      <c r="I42">
        <v>0.25</v>
      </c>
      <c r="J42">
        <v>0.2</v>
      </c>
      <c r="K42">
        <v>6.84</v>
      </c>
      <c r="N42">
        <v>3.2</v>
      </c>
      <c r="O42">
        <v>2.5000000000000102</v>
      </c>
      <c r="S42">
        <v>1512.76792543021</v>
      </c>
      <c r="T42">
        <v>3335.0262906309699</v>
      </c>
      <c r="U42">
        <v>3335.0262906309699</v>
      </c>
      <c r="V42">
        <v>3335.0262906309699</v>
      </c>
      <c r="W42">
        <v>3335.0262906309699</v>
      </c>
      <c r="X42">
        <v>0.12992000000000001</v>
      </c>
      <c r="Y42">
        <v>0.12992000000000001</v>
      </c>
      <c r="Z42">
        <v>0.64992000000000005</v>
      </c>
      <c r="AA42">
        <v>0.64992000000000005</v>
      </c>
      <c r="AB42">
        <v>0.21664</v>
      </c>
      <c r="AC42">
        <v>0.249959232</v>
      </c>
      <c r="AD42">
        <v>0.26997676799999998</v>
      </c>
      <c r="AE42">
        <v>0.39996076800000002</v>
      </c>
      <c r="AF42">
        <v>380</v>
      </c>
      <c r="AG42" s="9">
        <v>7.8394283312316501E-2</v>
      </c>
      <c r="AI42">
        <v>0.01</v>
      </c>
      <c r="AJ42">
        <v>0.08</v>
      </c>
      <c r="AK42">
        <v>1.1000000000000001</v>
      </c>
      <c r="AL42">
        <v>263.10014805933702</v>
      </c>
      <c r="AM42">
        <v>-206.39461860777701</v>
      </c>
      <c r="AN42">
        <v>5.7971000000000004</v>
      </c>
      <c r="AO42">
        <v>4.8545999999999996</v>
      </c>
      <c r="AP42">
        <v>1.2013</v>
      </c>
      <c r="AQ42">
        <v>1.032516</v>
      </c>
      <c r="AR42">
        <v>1.0936999999999999</v>
      </c>
      <c r="AS42">
        <v>0.86651999999999996</v>
      </c>
      <c r="AT42">
        <v>2.2949999999999999</v>
      </c>
      <c r="AU42">
        <v>1.8990359999999999</v>
      </c>
      <c r="AV42">
        <v>3.4411999999999998</v>
      </c>
      <c r="AW42">
        <v>2.9036249999999999</v>
      </c>
      <c r="AX42">
        <v>1.0948</v>
      </c>
      <c r="AY42">
        <v>1.002588</v>
      </c>
      <c r="AZ42">
        <v>4.1289999999999996</v>
      </c>
      <c r="BA42">
        <v>3.7778879999999999</v>
      </c>
      <c r="BB42">
        <v>7.0407000000000002</v>
      </c>
      <c r="BC42">
        <v>6.3631799999999998</v>
      </c>
      <c r="BD42">
        <v>4.3619000000000003</v>
      </c>
      <c r="BE42">
        <v>3.78972</v>
      </c>
      <c r="BF42">
        <v>2.4339</v>
      </c>
      <c r="BG42">
        <v>2.02014</v>
      </c>
      <c r="BH42">
        <v>6.8278999999999996</v>
      </c>
      <c r="BI42">
        <v>6.0110039999999998</v>
      </c>
      <c r="BJ42">
        <v>4.5048000000000004</v>
      </c>
      <c r="BK42">
        <v>4.2101040000000003</v>
      </c>
      <c r="BL42">
        <v>3.1320000000000001</v>
      </c>
      <c r="BM42">
        <v>2.7561599999999999</v>
      </c>
      <c r="BN42">
        <v>4.4196</v>
      </c>
      <c r="BO42">
        <v>3.800856</v>
      </c>
      <c r="BP42">
        <v>3.6192000000000002</v>
      </c>
      <c r="BQ42">
        <v>3.0401280000000002</v>
      </c>
      <c r="BR42">
        <v>16.469100000000001</v>
      </c>
      <c r="BS42">
        <v>14.657499</v>
      </c>
      <c r="BT42">
        <v>4.4978999999999996</v>
      </c>
      <c r="BU42">
        <v>4.1380679999999996</v>
      </c>
      <c r="BV42">
        <v>10.0137</v>
      </c>
      <c r="BX42">
        <v>7.7081999999999997</v>
      </c>
      <c r="BY42">
        <v>6.9662639999999998</v>
      </c>
      <c r="BZ42">
        <v>8.0388000000000002</v>
      </c>
      <c r="CA42">
        <v>6.8409839999999997</v>
      </c>
      <c r="CB42">
        <v>3.6800999999999999</v>
      </c>
      <c r="CD42">
        <v>0.41538461538461502</v>
      </c>
      <c r="CE42">
        <v>2</v>
      </c>
      <c r="CF42">
        <v>2</v>
      </c>
    </row>
    <row r="43" spans="1:84" x14ac:dyDescent="0.3">
      <c r="A43">
        <v>22525</v>
      </c>
      <c r="B43" t="s">
        <v>270</v>
      </c>
      <c r="C43">
        <v>8</v>
      </c>
      <c r="D43">
        <v>92</v>
      </c>
      <c r="E43">
        <v>72</v>
      </c>
      <c r="F43">
        <v>61.92</v>
      </c>
      <c r="G43">
        <v>1.5</v>
      </c>
      <c r="H43">
        <v>2.1428571428571401</v>
      </c>
      <c r="I43">
        <v>0.75</v>
      </c>
      <c r="J43">
        <v>1.5</v>
      </c>
      <c r="K43">
        <v>6.84</v>
      </c>
      <c r="L43">
        <v>3</v>
      </c>
      <c r="M43">
        <v>2</v>
      </c>
      <c r="N43">
        <v>3</v>
      </c>
      <c r="O43">
        <v>14</v>
      </c>
      <c r="AF43">
        <v>278</v>
      </c>
      <c r="AN43">
        <v>5.1289999999999996</v>
      </c>
      <c r="AO43">
        <v>4.8156480000000004</v>
      </c>
      <c r="AP43">
        <v>0.67700000000000005</v>
      </c>
      <c r="AQ43">
        <v>0.60192000000000001</v>
      </c>
      <c r="AR43">
        <v>0.72719999999999996</v>
      </c>
      <c r="AS43">
        <v>0.53085599999999999</v>
      </c>
      <c r="AT43">
        <v>1.401</v>
      </c>
      <c r="AU43">
        <v>1.132776</v>
      </c>
      <c r="AV43">
        <v>2.5310000000000001</v>
      </c>
      <c r="AW43">
        <v>2.165184</v>
      </c>
      <c r="AX43">
        <v>0.67900000000000005</v>
      </c>
      <c r="AZ43">
        <v>3.4089999999999998</v>
      </c>
      <c r="BA43">
        <v>2.9145599999999998</v>
      </c>
      <c r="BB43">
        <v>5.92</v>
      </c>
      <c r="BC43">
        <v>5.1194879999999996</v>
      </c>
      <c r="BD43">
        <v>3.6139999999999999</v>
      </c>
      <c r="BE43">
        <v>3.1069439999999999</v>
      </c>
      <c r="BF43">
        <v>1.7549999999999999</v>
      </c>
      <c r="BG43">
        <v>1.56816</v>
      </c>
      <c r="BH43">
        <v>6.0270000000000001</v>
      </c>
      <c r="BI43">
        <v>5.5840319999999997</v>
      </c>
      <c r="BJ43">
        <v>3.8809999999999998</v>
      </c>
      <c r="BK43">
        <v>3.4090560000000001</v>
      </c>
      <c r="BL43">
        <v>2.3616000000000001</v>
      </c>
      <c r="BN43">
        <v>3.536</v>
      </c>
      <c r="BO43">
        <v>3.110976</v>
      </c>
      <c r="BP43">
        <v>2.88</v>
      </c>
      <c r="BQ43">
        <v>2.5118640000000001</v>
      </c>
      <c r="BR43">
        <v>11.747999999999999</v>
      </c>
      <c r="BS43">
        <v>11.008224</v>
      </c>
      <c r="BT43">
        <v>3.0510000000000002</v>
      </c>
      <c r="BU43">
        <v>2.6977679999999999</v>
      </c>
      <c r="BV43">
        <v>8.1750000000000007</v>
      </c>
      <c r="BW43">
        <v>7.3807200000000002</v>
      </c>
      <c r="BX43">
        <v>6.1920000000000002</v>
      </c>
      <c r="BY43">
        <v>3.4090560000000001</v>
      </c>
      <c r="BZ43">
        <v>6.4223999999999997</v>
      </c>
      <c r="CA43">
        <v>5.6228400000000001</v>
      </c>
      <c r="CB43">
        <v>3.024</v>
      </c>
      <c r="CC43">
        <v>2.6611199999999999</v>
      </c>
      <c r="CE43">
        <v>2</v>
      </c>
      <c r="CF43">
        <v>2</v>
      </c>
    </row>
    <row r="44" spans="1:84" x14ac:dyDescent="0.3">
      <c r="A44">
        <v>22530</v>
      </c>
      <c r="B44" t="s">
        <v>271</v>
      </c>
      <c r="C44">
        <v>9.6</v>
      </c>
      <c r="D44">
        <v>90.4</v>
      </c>
      <c r="E44">
        <v>76.5</v>
      </c>
      <c r="F44">
        <v>68.849999999999994</v>
      </c>
      <c r="G44">
        <v>2.8</v>
      </c>
      <c r="H44">
        <v>4.6666666666666696</v>
      </c>
      <c r="I44">
        <v>1.4</v>
      </c>
      <c r="J44">
        <v>0.4</v>
      </c>
      <c r="K44">
        <v>6.84</v>
      </c>
      <c r="L44">
        <v>2.9</v>
      </c>
      <c r="M44">
        <v>1</v>
      </c>
      <c r="N44">
        <v>2.2999999999999998</v>
      </c>
      <c r="O44">
        <v>8.4</v>
      </c>
      <c r="P44">
        <v>0.8</v>
      </c>
      <c r="Q44">
        <v>0.6</v>
      </c>
      <c r="R44">
        <v>1.4</v>
      </c>
      <c r="S44">
        <v>1598.8218298279201</v>
      </c>
      <c r="T44">
        <v>3524.7394837476099</v>
      </c>
      <c r="U44">
        <v>3524.7394837476099</v>
      </c>
      <c r="V44">
        <v>3524.7394837476099</v>
      </c>
      <c r="W44">
        <v>3524.7394837476099</v>
      </c>
      <c r="X44">
        <v>0.2001</v>
      </c>
      <c r="Y44">
        <v>0.2001</v>
      </c>
      <c r="Z44">
        <v>0.25001000000000001</v>
      </c>
      <c r="AA44">
        <v>0.25001000000000001</v>
      </c>
      <c r="AB44" s="9">
        <v>8.3336666666666698E-2</v>
      </c>
      <c r="AC44">
        <v>0.2200088</v>
      </c>
      <c r="AD44">
        <v>0.150006</v>
      </c>
      <c r="AE44">
        <v>3.0001199999999999E-2</v>
      </c>
      <c r="AF44">
        <v>250</v>
      </c>
      <c r="AG44">
        <v>0.186002522068096</v>
      </c>
      <c r="AI44">
        <v>0.03</v>
      </c>
      <c r="AJ44">
        <v>0.18</v>
      </c>
      <c r="AK44">
        <v>0.75</v>
      </c>
      <c r="AL44">
        <v>154.08513553421801</v>
      </c>
      <c r="AM44">
        <v>2.8458146081200102</v>
      </c>
      <c r="AN44">
        <v>5.8653500000000003</v>
      </c>
      <c r="AO44">
        <v>5.3152200000000001</v>
      </c>
      <c r="AP44">
        <v>1.69065</v>
      </c>
      <c r="AQ44">
        <v>1.6399305</v>
      </c>
      <c r="AR44">
        <v>1.06335</v>
      </c>
      <c r="AS44">
        <v>0.92511449999999995</v>
      </c>
      <c r="AT44">
        <v>2.754</v>
      </c>
      <c r="AU44">
        <v>2.565045</v>
      </c>
      <c r="AV44">
        <v>4.35025</v>
      </c>
      <c r="AW44">
        <v>4.1264099999999999</v>
      </c>
      <c r="AX44">
        <v>1.09395</v>
      </c>
      <c r="AY44">
        <v>1.0064340000000001</v>
      </c>
      <c r="AZ44">
        <v>4.1845499999999998</v>
      </c>
      <c r="BA44">
        <v>4.0171679999999999</v>
      </c>
      <c r="BB44">
        <v>7.8412499999999996</v>
      </c>
      <c r="BC44">
        <v>7.6844250000000001</v>
      </c>
      <c r="BD44">
        <v>5.0030999999999999</v>
      </c>
      <c r="BE44">
        <v>4.8029760000000001</v>
      </c>
      <c r="BF44">
        <v>1.6447499999999999</v>
      </c>
      <c r="BG44">
        <v>1.546065</v>
      </c>
      <c r="BH44">
        <v>3.9091499999999999</v>
      </c>
      <c r="BI44">
        <v>3.7527840000000001</v>
      </c>
      <c r="BJ44">
        <v>4.9495500000000003</v>
      </c>
      <c r="BK44">
        <v>4.652577</v>
      </c>
      <c r="BL44">
        <v>2.754</v>
      </c>
      <c r="BN44">
        <v>4.1616</v>
      </c>
      <c r="BP44">
        <v>3.8096999999999999</v>
      </c>
      <c r="BR44">
        <v>8.2926000000000002</v>
      </c>
      <c r="BT44">
        <v>3.8555999999999999</v>
      </c>
      <c r="BV44">
        <v>9.6925500000000007</v>
      </c>
      <c r="BX44">
        <v>7.7035499999999999</v>
      </c>
      <c r="BY44">
        <v>4.652577</v>
      </c>
      <c r="BZ44">
        <v>7.9713000000000003</v>
      </c>
      <c r="CB44">
        <v>3.7637999999999998</v>
      </c>
      <c r="CD44">
        <v>2.1</v>
      </c>
      <c r="CE44">
        <v>2</v>
      </c>
      <c r="CF44">
        <v>2</v>
      </c>
    </row>
    <row r="45" spans="1:84" x14ac:dyDescent="0.3">
      <c r="A45">
        <v>22540</v>
      </c>
      <c r="B45" t="s">
        <v>272</v>
      </c>
      <c r="C45">
        <v>9</v>
      </c>
      <c r="D45">
        <v>91</v>
      </c>
      <c r="E45">
        <v>87</v>
      </c>
      <c r="F45">
        <v>82.65</v>
      </c>
      <c r="G45">
        <v>0.8</v>
      </c>
      <c r="H45">
        <v>0.898876404494382</v>
      </c>
      <c r="I45">
        <v>0.76</v>
      </c>
      <c r="J45">
        <v>0.1</v>
      </c>
      <c r="K45">
        <v>6.84</v>
      </c>
      <c r="N45">
        <v>2.6</v>
      </c>
      <c r="O45">
        <v>0.5</v>
      </c>
      <c r="S45">
        <v>1651.76965583174</v>
      </c>
      <c r="T45">
        <v>3641.4674952198902</v>
      </c>
      <c r="U45">
        <v>3641.4674952198902</v>
      </c>
      <c r="V45">
        <v>3641.4674952198902</v>
      </c>
      <c r="W45">
        <v>3641.4674952198902</v>
      </c>
      <c r="X45">
        <v>0.39988000000000001</v>
      </c>
      <c r="Y45">
        <v>0.39988000000000001</v>
      </c>
      <c r="Z45">
        <v>0.69991999999999999</v>
      </c>
      <c r="AA45">
        <v>0.69991999999999999</v>
      </c>
      <c r="AB45">
        <v>0.233306666666667</v>
      </c>
      <c r="AC45">
        <v>0.69991999999999999</v>
      </c>
      <c r="AD45">
        <v>0.499952856</v>
      </c>
      <c r="AF45">
        <v>400</v>
      </c>
      <c r="AG45" s="9">
        <v>4.5607398066414499E-2</v>
      </c>
      <c r="AI45">
        <v>0.01</v>
      </c>
      <c r="AJ45">
        <v>0.04</v>
      </c>
      <c r="AK45">
        <v>0.01</v>
      </c>
      <c r="AL45">
        <v>-4.3744738455878602</v>
      </c>
      <c r="AM45">
        <v>-616.30180653779905</v>
      </c>
      <c r="AN45">
        <v>7.0296000000000003</v>
      </c>
      <c r="AO45">
        <v>6.8187119999999997</v>
      </c>
      <c r="AP45">
        <v>2.5491000000000001</v>
      </c>
      <c r="AQ45">
        <v>2.523609</v>
      </c>
      <c r="AR45">
        <v>0.42630000000000001</v>
      </c>
      <c r="AS45">
        <v>0.35809200000000002</v>
      </c>
      <c r="AT45">
        <v>2.9754</v>
      </c>
      <c r="AU45">
        <v>2.8817010000000001</v>
      </c>
      <c r="AV45">
        <v>3.7410000000000001</v>
      </c>
      <c r="AW45">
        <v>3.6661800000000002</v>
      </c>
      <c r="AX45">
        <v>1.131</v>
      </c>
      <c r="AY45">
        <v>1.0744499999999999</v>
      </c>
      <c r="AZ45">
        <v>4.5587999999999997</v>
      </c>
      <c r="BA45">
        <v>4.4676239999999998</v>
      </c>
      <c r="BB45">
        <v>8.3520000000000003</v>
      </c>
      <c r="BC45">
        <v>8.2684800000000003</v>
      </c>
      <c r="BD45">
        <v>5.6985000000000001</v>
      </c>
      <c r="BE45">
        <v>5.58453</v>
      </c>
      <c r="BF45">
        <v>2.5491000000000001</v>
      </c>
      <c r="BG45">
        <v>2.447136</v>
      </c>
      <c r="BH45">
        <v>2.6360999999999999</v>
      </c>
      <c r="BI45">
        <v>2.5570170000000001</v>
      </c>
      <c r="BJ45">
        <v>4.4892000000000003</v>
      </c>
      <c r="BK45">
        <v>4.3096319999999997</v>
      </c>
      <c r="BL45">
        <v>5.0198999999999998</v>
      </c>
      <c r="BN45">
        <v>4.8894000000000002</v>
      </c>
      <c r="BP45">
        <v>1.6355999999999999</v>
      </c>
      <c r="BR45">
        <v>19.227</v>
      </c>
      <c r="BT45">
        <v>9.5439000000000007</v>
      </c>
      <c r="BV45">
        <v>6.3422999999999998</v>
      </c>
      <c r="BX45">
        <v>9.5091000000000001</v>
      </c>
      <c r="BY45">
        <v>4.3096319999999997</v>
      </c>
      <c r="BZ45">
        <v>6.5250000000000004</v>
      </c>
      <c r="CB45">
        <v>2.6796000000000002</v>
      </c>
      <c r="CD45" s="9">
        <v>1.97752808988764E-2</v>
      </c>
      <c r="CE45">
        <v>208</v>
      </c>
      <c r="CF45">
        <v>208</v>
      </c>
    </row>
    <row r="46" spans="1:84" x14ac:dyDescent="0.3">
      <c r="A46">
        <v>22550</v>
      </c>
      <c r="B46" t="s">
        <v>273</v>
      </c>
      <c r="C46">
        <v>6.3</v>
      </c>
      <c r="D46">
        <v>93.7</v>
      </c>
      <c r="E46">
        <v>81</v>
      </c>
      <c r="F46">
        <v>76.95</v>
      </c>
      <c r="G46">
        <v>5.2</v>
      </c>
      <c r="H46">
        <v>7.3239436619718301</v>
      </c>
      <c r="I46">
        <v>4.9400000000000004</v>
      </c>
      <c r="J46">
        <v>0.4</v>
      </c>
      <c r="K46">
        <v>6.84</v>
      </c>
      <c r="N46">
        <v>1.5</v>
      </c>
      <c r="O46">
        <v>5.6</v>
      </c>
      <c r="Q46">
        <v>6</v>
      </c>
      <c r="R46">
        <v>6</v>
      </c>
      <c r="S46">
        <v>1796.3752543021001</v>
      </c>
      <c r="T46">
        <v>3960.2629063097502</v>
      </c>
      <c r="U46">
        <v>3960.2629063097502</v>
      </c>
      <c r="V46">
        <v>3960.2629063097502</v>
      </c>
      <c r="W46">
        <v>3960.2629063097502</v>
      </c>
      <c r="X46">
        <v>0.09</v>
      </c>
      <c r="Y46">
        <v>0.09</v>
      </c>
      <c r="Z46">
        <v>0.19950000000000001</v>
      </c>
      <c r="AA46">
        <v>0.19950000000000001</v>
      </c>
      <c r="AB46">
        <v>6.6500000000000004E-2</v>
      </c>
      <c r="AC46">
        <v>9.9750000000000005E-2</v>
      </c>
      <c r="AD46">
        <v>6.9824999999999998E-2</v>
      </c>
      <c r="AE46">
        <v>9.9750000000000005E-2</v>
      </c>
      <c r="AF46">
        <v>250</v>
      </c>
      <c r="AG46" s="9">
        <v>4.5607398066414499E-2</v>
      </c>
      <c r="AI46">
        <v>0.01</v>
      </c>
      <c r="AJ46">
        <v>0.04</v>
      </c>
      <c r="AK46">
        <v>0.27</v>
      </c>
      <c r="AL46">
        <v>62.118288672953398</v>
      </c>
      <c r="AM46">
        <v>247.88811389529101</v>
      </c>
      <c r="AN46">
        <v>1.296</v>
      </c>
      <c r="AO46">
        <v>1.1664000000000001</v>
      </c>
      <c r="AP46">
        <v>1.2010000000000001</v>
      </c>
      <c r="AQ46">
        <v>1.186407</v>
      </c>
      <c r="AR46">
        <v>1.6929000000000001</v>
      </c>
      <c r="AS46">
        <v>1.5236099999999999</v>
      </c>
      <c r="AT46">
        <v>2.9159999999999999</v>
      </c>
      <c r="AU46">
        <v>2.7100170000000001</v>
      </c>
      <c r="AV46">
        <v>1.94</v>
      </c>
      <c r="AW46">
        <v>1.8606510000000001</v>
      </c>
      <c r="AX46">
        <v>0.78300000000000003</v>
      </c>
      <c r="AY46">
        <v>0.73094400000000004</v>
      </c>
      <c r="AZ46">
        <v>2.855</v>
      </c>
      <c r="BA46">
        <v>2.7838080000000001</v>
      </c>
      <c r="BB46">
        <v>5.3959999999999999</v>
      </c>
      <c r="BC46">
        <v>5.3978400000000004</v>
      </c>
      <c r="BD46">
        <v>3.0550000000000002</v>
      </c>
      <c r="BE46">
        <v>3.0170880000000002</v>
      </c>
      <c r="BF46">
        <v>1.595</v>
      </c>
      <c r="BG46">
        <v>1.5629759999999999</v>
      </c>
      <c r="BH46">
        <v>2.7945000000000002</v>
      </c>
      <c r="BI46">
        <v>2.6827200000000002</v>
      </c>
      <c r="BJ46">
        <v>4.0289999999999999</v>
      </c>
      <c r="BK46">
        <v>3.9113280000000001</v>
      </c>
      <c r="BL46">
        <v>2.7864</v>
      </c>
      <c r="BM46">
        <v>2.7028080000000001</v>
      </c>
      <c r="BN46">
        <v>3.698</v>
      </c>
      <c r="BO46">
        <v>3.4800840000000002</v>
      </c>
      <c r="BP46">
        <v>2.6179999999999999</v>
      </c>
      <c r="BQ46">
        <v>1.7714700000000001</v>
      </c>
      <c r="BR46">
        <v>28.18</v>
      </c>
      <c r="BS46">
        <v>24.694469999999999</v>
      </c>
      <c r="BT46">
        <v>10.176</v>
      </c>
      <c r="BU46">
        <v>8.4960900000000006</v>
      </c>
      <c r="BV46">
        <v>2.6082000000000001</v>
      </c>
      <c r="BX46">
        <v>6.8606999999999996</v>
      </c>
      <c r="BY46">
        <v>6.6141360000000002</v>
      </c>
      <c r="BZ46">
        <v>5.7510000000000003</v>
      </c>
      <c r="CA46">
        <v>5.2515539999999996</v>
      </c>
      <c r="CB46">
        <v>2.0655000000000001</v>
      </c>
      <c r="CD46">
        <v>0.36619718309859201</v>
      </c>
      <c r="CE46">
        <v>250</v>
      </c>
      <c r="CF46">
        <v>250</v>
      </c>
    </row>
    <row r="47" spans="1:84" x14ac:dyDescent="0.3">
      <c r="A47">
        <v>22560</v>
      </c>
      <c r="B47" t="s">
        <v>16</v>
      </c>
      <c r="C47">
        <v>10.4</v>
      </c>
      <c r="D47">
        <v>89.6</v>
      </c>
      <c r="E47">
        <v>60</v>
      </c>
      <c r="F47">
        <v>57</v>
      </c>
      <c r="G47">
        <v>2.7</v>
      </c>
      <c r="H47">
        <v>5.2941176470588198</v>
      </c>
      <c r="I47">
        <v>2.5649999999999999</v>
      </c>
      <c r="J47">
        <v>1.7</v>
      </c>
      <c r="K47">
        <v>6.84</v>
      </c>
      <c r="L47">
        <v>6.1</v>
      </c>
      <c r="M47">
        <v>2.4</v>
      </c>
      <c r="N47">
        <v>1.7</v>
      </c>
      <c r="O47">
        <v>23.5</v>
      </c>
      <c r="P47">
        <v>0.7</v>
      </c>
      <c r="Q47">
        <v>17</v>
      </c>
      <c r="R47">
        <v>17.7</v>
      </c>
      <c r="S47">
        <v>1575.36342447419</v>
      </c>
      <c r="T47">
        <v>3473.0234225621398</v>
      </c>
      <c r="U47">
        <v>3473.0234225621398</v>
      </c>
      <c r="V47">
        <v>3473.0234225621398</v>
      </c>
      <c r="W47">
        <v>3473.0234225621398</v>
      </c>
      <c r="X47">
        <v>2.9919999999999999E-2</v>
      </c>
      <c r="Y47">
        <v>2.9919999999999999E-2</v>
      </c>
      <c r="Z47">
        <v>0.43996000000000002</v>
      </c>
      <c r="AA47">
        <v>0.43996000000000002</v>
      </c>
      <c r="AB47">
        <v>0.146653333333333</v>
      </c>
      <c r="AC47">
        <v>0.11997709199999999</v>
      </c>
      <c r="AD47">
        <v>0.17998763600000001</v>
      </c>
      <c r="AE47">
        <v>0.31998290800000001</v>
      </c>
      <c r="AF47">
        <v>95</v>
      </c>
      <c r="AG47">
        <v>7.4821353509877994E-2</v>
      </c>
      <c r="AI47">
        <v>0.02</v>
      </c>
      <c r="AJ47">
        <v>0.06</v>
      </c>
      <c r="AK47">
        <v>0.18</v>
      </c>
      <c r="AL47">
        <v>37.811424339329299</v>
      </c>
      <c r="AM47">
        <v>-220.769063314345</v>
      </c>
      <c r="AN47">
        <v>0.98399999999999999</v>
      </c>
      <c r="AO47">
        <v>0.76751999999999998</v>
      </c>
      <c r="AP47">
        <v>1.4370000000000001</v>
      </c>
      <c r="AQ47">
        <v>1.35408</v>
      </c>
      <c r="AR47">
        <v>1.0609999999999999</v>
      </c>
      <c r="AS47">
        <v>0.85175999999999996</v>
      </c>
      <c r="AT47">
        <v>2.4980000000000002</v>
      </c>
      <c r="AU47">
        <v>2.2058399999999998</v>
      </c>
      <c r="AV47">
        <v>1.9770000000000001</v>
      </c>
      <c r="AW47">
        <v>1.5940799999999999</v>
      </c>
      <c r="AX47">
        <v>0.312</v>
      </c>
      <c r="AY47">
        <v>0.20591999999999999</v>
      </c>
      <c r="AZ47">
        <v>2.359</v>
      </c>
      <c r="BA47">
        <v>2.0539200000000002</v>
      </c>
      <c r="BB47">
        <v>9.6470000000000002</v>
      </c>
      <c r="BC47">
        <v>8.7326999999999995</v>
      </c>
      <c r="BD47">
        <v>2.706</v>
      </c>
      <c r="BE47">
        <v>2.3001</v>
      </c>
      <c r="BF47">
        <v>1.2130000000000001</v>
      </c>
      <c r="BG47">
        <v>1.06488</v>
      </c>
      <c r="BH47">
        <v>1.891</v>
      </c>
      <c r="BI47">
        <v>1.6651800000000001</v>
      </c>
      <c r="BJ47">
        <v>3.7010000000000001</v>
      </c>
      <c r="BK47">
        <v>3.2759999999999998</v>
      </c>
      <c r="BL47">
        <v>3.1080000000000001</v>
      </c>
      <c r="BM47">
        <v>2.9215200000000001</v>
      </c>
      <c r="BN47">
        <v>3.0230000000000001</v>
      </c>
      <c r="BO47">
        <v>2.6822400000000002</v>
      </c>
      <c r="BP47">
        <v>1.677</v>
      </c>
      <c r="BQ47">
        <v>1.29504</v>
      </c>
      <c r="BR47">
        <v>12.638</v>
      </c>
      <c r="BS47">
        <v>11.520239999999999</v>
      </c>
      <c r="BT47">
        <v>5.5049999999999999</v>
      </c>
      <c r="BU47">
        <v>4.8869999999999996</v>
      </c>
      <c r="BV47">
        <v>3.6190000000000002</v>
      </c>
      <c r="BW47">
        <v>2.9680800000000001</v>
      </c>
      <c r="BX47">
        <v>6.7080000000000002</v>
      </c>
      <c r="BY47">
        <v>6.1975199999999999</v>
      </c>
      <c r="BZ47">
        <v>4.7519999999999998</v>
      </c>
      <c r="CA47">
        <v>3.9772799999999999</v>
      </c>
      <c r="CB47">
        <v>5.1660000000000004</v>
      </c>
      <c r="CC47">
        <v>4.7527200000000001</v>
      </c>
      <c r="CD47">
        <v>2.96470588235294</v>
      </c>
      <c r="CE47">
        <v>330</v>
      </c>
      <c r="CF47">
        <v>330</v>
      </c>
    </row>
    <row r="48" spans="1:84" x14ac:dyDescent="0.3">
      <c r="A48">
        <v>22570</v>
      </c>
      <c r="B48" t="s">
        <v>274</v>
      </c>
      <c r="C48">
        <v>8.5</v>
      </c>
      <c r="D48">
        <v>91.5</v>
      </c>
      <c r="E48">
        <v>74</v>
      </c>
      <c r="F48">
        <v>59.2</v>
      </c>
      <c r="G48">
        <v>2</v>
      </c>
      <c r="H48">
        <v>2.5641025641025599</v>
      </c>
      <c r="I48">
        <v>1.9</v>
      </c>
      <c r="K48">
        <v>6.84</v>
      </c>
      <c r="N48">
        <v>19</v>
      </c>
      <c r="P48">
        <v>2</v>
      </c>
      <c r="R48">
        <v>2</v>
      </c>
      <c r="S48">
        <v>1216.58902485659</v>
      </c>
      <c r="T48">
        <v>2682.07456978967</v>
      </c>
      <c r="U48">
        <v>2682.07456978967</v>
      </c>
      <c r="V48">
        <v>2682.07456978967</v>
      </c>
      <c r="W48">
        <v>2682.07456978967</v>
      </c>
      <c r="X48">
        <v>0.19950000000000001</v>
      </c>
      <c r="Y48">
        <v>0.19950000000000001</v>
      </c>
      <c r="Z48">
        <v>0.15010000000000001</v>
      </c>
      <c r="AA48">
        <v>0.15010000000000001</v>
      </c>
      <c r="AB48" s="9">
        <v>5.0033333333333298E-2</v>
      </c>
      <c r="AC48">
        <v>0.15010000000000001</v>
      </c>
      <c r="AD48">
        <v>0.12008000000000001</v>
      </c>
      <c r="AF48">
        <v>700</v>
      </c>
      <c r="AG48">
        <v>11.8474148802018</v>
      </c>
      <c r="AI48">
        <v>6.3</v>
      </c>
      <c r="AJ48">
        <v>4.5999999999999996</v>
      </c>
      <c r="AK48">
        <v>0.42</v>
      </c>
      <c r="AL48">
        <v>1551.3234892206101</v>
      </c>
      <c r="AM48">
        <v>1246.54268980968</v>
      </c>
      <c r="AN48">
        <v>6.5860000000000003</v>
      </c>
      <c r="AP48">
        <v>0.6734</v>
      </c>
      <c r="AR48">
        <v>2.2273999999999998</v>
      </c>
      <c r="AT48">
        <v>2.9007999999999998</v>
      </c>
      <c r="AV48">
        <v>4.2624000000000004</v>
      </c>
      <c r="AX48">
        <v>1.2876000000000001</v>
      </c>
      <c r="AZ48">
        <v>2.59</v>
      </c>
      <c r="BB48">
        <v>6.8006000000000002</v>
      </c>
      <c r="BD48">
        <v>4.8026</v>
      </c>
      <c r="BF48">
        <v>2.331</v>
      </c>
      <c r="BH48">
        <v>4.4029999999999996</v>
      </c>
      <c r="BJ48">
        <v>3.9738000000000002</v>
      </c>
      <c r="BL48">
        <v>4.2253999999999996</v>
      </c>
      <c r="BN48">
        <v>4.4104000000000001</v>
      </c>
      <c r="BP48">
        <v>2.7231999999999998</v>
      </c>
      <c r="BR48">
        <v>10.064</v>
      </c>
      <c r="BT48">
        <v>3.8997999999999999</v>
      </c>
      <c r="BV48">
        <v>7.2889999999999997</v>
      </c>
      <c r="BX48">
        <v>8.1991999999999994</v>
      </c>
      <c r="BZ48">
        <v>7.1336000000000004</v>
      </c>
      <c r="CB48">
        <v>3.9516</v>
      </c>
      <c r="CE48">
        <v>1100</v>
      </c>
      <c r="CF48">
        <v>1100</v>
      </c>
    </row>
    <row r="49" spans="1:84" x14ac:dyDescent="0.3">
      <c r="A49">
        <v>22580</v>
      </c>
      <c r="B49" t="s">
        <v>275</v>
      </c>
      <c r="C49">
        <v>8.5</v>
      </c>
      <c r="D49">
        <v>91.5</v>
      </c>
      <c r="E49">
        <v>81</v>
      </c>
      <c r="F49">
        <v>64.8</v>
      </c>
      <c r="G49">
        <v>2</v>
      </c>
      <c r="H49">
        <v>2.5641025641025599</v>
      </c>
      <c r="I49">
        <v>1.9</v>
      </c>
      <c r="K49">
        <v>6.84</v>
      </c>
      <c r="N49">
        <v>6</v>
      </c>
      <c r="O49">
        <v>2.5</v>
      </c>
      <c r="P49">
        <v>3</v>
      </c>
      <c r="R49">
        <v>3</v>
      </c>
      <c r="S49">
        <v>1326.0969980879499</v>
      </c>
      <c r="T49">
        <v>2923.4942638623302</v>
      </c>
      <c r="U49">
        <v>2923.4942638623302</v>
      </c>
      <c r="V49">
        <v>2923.4942638623302</v>
      </c>
      <c r="W49">
        <v>2923.4942638623302</v>
      </c>
      <c r="X49">
        <v>0.15</v>
      </c>
      <c r="Y49">
        <v>0.15</v>
      </c>
      <c r="Z49">
        <v>0.16980000000000001</v>
      </c>
      <c r="AA49">
        <v>0.16980000000000001</v>
      </c>
      <c r="AB49">
        <v>5.6599999999999998E-2</v>
      </c>
      <c r="AC49">
        <v>0.16980000000000001</v>
      </c>
      <c r="AD49">
        <v>0.12984606000000001</v>
      </c>
      <c r="AF49">
        <v>700</v>
      </c>
      <c r="AG49">
        <v>5.1013030685162004</v>
      </c>
      <c r="AI49">
        <v>3.02</v>
      </c>
      <c r="AJ49">
        <v>1.5</v>
      </c>
      <c r="AK49">
        <v>0.2</v>
      </c>
      <c r="AL49">
        <v>942.20335710961399</v>
      </c>
      <c r="AM49">
        <v>721.62750172972005</v>
      </c>
      <c r="AN49">
        <v>7.2089999999999996</v>
      </c>
      <c r="AP49">
        <v>0.73709999999999998</v>
      </c>
      <c r="AR49">
        <v>2.4380999999999999</v>
      </c>
      <c r="AT49">
        <v>3.1751999999999998</v>
      </c>
      <c r="AV49">
        <v>4.6656000000000004</v>
      </c>
      <c r="AX49">
        <v>1.4094</v>
      </c>
      <c r="AZ49">
        <v>2.835</v>
      </c>
      <c r="BB49">
        <v>7.4439000000000002</v>
      </c>
      <c r="BD49">
        <v>5.2568999999999999</v>
      </c>
      <c r="BF49">
        <v>2.5514999999999999</v>
      </c>
      <c r="BH49">
        <v>4.8194999999999997</v>
      </c>
      <c r="BJ49">
        <v>4.3497000000000003</v>
      </c>
      <c r="BL49">
        <v>4.6250999999999998</v>
      </c>
      <c r="BN49">
        <v>4.8276000000000003</v>
      </c>
      <c r="BP49">
        <v>2.9807999999999999</v>
      </c>
      <c r="BR49">
        <v>11.016</v>
      </c>
      <c r="BT49">
        <v>4.2686999999999999</v>
      </c>
      <c r="BV49">
        <v>7.9785000000000004</v>
      </c>
      <c r="BX49">
        <v>8.9748000000000001</v>
      </c>
      <c r="BZ49">
        <v>7.8083999999999998</v>
      </c>
      <c r="CB49">
        <v>4.3254000000000001</v>
      </c>
      <c r="CE49">
        <v>1100</v>
      </c>
      <c r="CF49">
        <v>1100</v>
      </c>
    </row>
    <row r="50" spans="1:84" x14ac:dyDescent="0.3">
      <c r="A50">
        <v>23000</v>
      </c>
      <c r="B50" t="s">
        <v>276</v>
      </c>
      <c r="C50">
        <v>10.5</v>
      </c>
      <c r="D50">
        <v>89.5</v>
      </c>
      <c r="E50">
        <v>36.200000000000003</v>
      </c>
      <c r="F50">
        <v>27.512</v>
      </c>
      <c r="G50">
        <v>2.2000000000000002</v>
      </c>
      <c r="H50">
        <v>3.7931034482758599</v>
      </c>
      <c r="I50">
        <v>1.65</v>
      </c>
      <c r="J50">
        <v>12.9</v>
      </c>
      <c r="K50">
        <v>6.84</v>
      </c>
      <c r="L50">
        <v>27.3</v>
      </c>
      <c r="M50">
        <v>17.600000000000001</v>
      </c>
      <c r="N50">
        <v>8.5</v>
      </c>
      <c r="O50">
        <v>29.7</v>
      </c>
      <c r="P50">
        <v>6</v>
      </c>
      <c r="R50">
        <v>6</v>
      </c>
      <c r="S50">
        <v>781.35971644359495</v>
      </c>
      <c r="T50">
        <v>1722.57433078394</v>
      </c>
      <c r="U50">
        <v>1722.57433078394</v>
      </c>
      <c r="V50">
        <v>1722.57433078394</v>
      </c>
      <c r="W50">
        <v>1722.57433078394</v>
      </c>
      <c r="X50">
        <v>0.70040000000000002</v>
      </c>
      <c r="Y50">
        <v>0.70040000000000002</v>
      </c>
      <c r="Z50">
        <v>1.2001999999999999</v>
      </c>
      <c r="AA50">
        <v>1.2001999999999999</v>
      </c>
      <c r="AB50">
        <v>0.40006666666666701</v>
      </c>
      <c r="AC50">
        <v>0.36005999999999999</v>
      </c>
      <c r="AD50">
        <v>0.40002665999999998</v>
      </c>
      <c r="AE50">
        <v>0.84014</v>
      </c>
      <c r="AF50">
        <v>498</v>
      </c>
      <c r="AG50">
        <v>0.17990752416981901</v>
      </c>
      <c r="AI50">
        <v>7.0000000000000007E-2</v>
      </c>
      <c r="AJ50">
        <v>0.11</v>
      </c>
      <c r="AK50">
        <v>1.22</v>
      </c>
      <c r="AL50">
        <v>311.43615253674199</v>
      </c>
      <c r="AM50">
        <v>264.598205827789</v>
      </c>
      <c r="AN50">
        <v>2.0199600000000002</v>
      </c>
      <c r="AO50">
        <v>1.63010772</v>
      </c>
      <c r="AP50">
        <v>0.68500000000000005</v>
      </c>
      <c r="AQ50">
        <v>0.69813510000000001</v>
      </c>
      <c r="AR50">
        <v>0.85780000000000001</v>
      </c>
      <c r="AS50">
        <v>0.66061380000000003</v>
      </c>
      <c r="AT50">
        <v>1.5427999999999999</v>
      </c>
      <c r="AU50">
        <v>1.3587488999999999</v>
      </c>
      <c r="AV50">
        <v>1.57108</v>
      </c>
      <c r="AW50">
        <v>1.26157724</v>
      </c>
      <c r="AX50">
        <v>0.50280000000000002</v>
      </c>
      <c r="AY50">
        <v>0.38985952000000001</v>
      </c>
      <c r="AZ50">
        <v>1.4186000000000001</v>
      </c>
      <c r="BA50">
        <v>1.0993215999999999</v>
      </c>
      <c r="BB50">
        <v>2.444</v>
      </c>
      <c r="BC50">
        <v>2.2014306000000001</v>
      </c>
      <c r="BD50">
        <v>1.7842</v>
      </c>
      <c r="BE50">
        <v>1.37844532</v>
      </c>
      <c r="BF50">
        <v>0.95799999999999996</v>
      </c>
      <c r="BG50">
        <v>0.87922560000000005</v>
      </c>
      <c r="BH50">
        <v>2.2516400000000001</v>
      </c>
      <c r="BI50">
        <v>2.0309792799999999</v>
      </c>
      <c r="BJ50">
        <v>1.4204000000000001</v>
      </c>
      <c r="BK50">
        <v>1.2310896</v>
      </c>
      <c r="BL50">
        <v>0.93033999999999994</v>
      </c>
      <c r="BM50">
        <v>0.78055525999999997</v>
      </c>
      <c r="BN50">
        <v>1.4794</v>
      </c>
      <c r="BO50">
        <v>1.2394083600000001</v>
      </c>
      <c r="BP50">
        <v>1.8106</v>
      </c>
      <c r="BQ50">
        <v>1.4707698</v>
      </c>
      <c r="BR50">
        <v>6.1466000000000003</v>
      </c>
      <c r="BS50">
        <v>2.8368057599999998</v>
      </c>
      <c r="BT50">
        <v>2.2042000000000002</v>
      </c>
      <c r="BU50">
        <v>1.6019187800000001</v>
      </c>
      <c r="BV50">
        <v>1.6217600000000001</v>
      </c>
      <c r="BW50">
        <v>1.4758016</v>
      </c>
      <c r="BX50">
        <v>2.3421400000000001</v>
      </c>
      <c r="BY50">
        <v>2.0116448600000001</v>
      </c>
      <c r="BZ50">
        <v>3.1892200000000002</v>
      </c>
      <c r="CA50">
        <v>2.7101781599999999</v>
      </c>
      <c r="CB50">
        <v>1.5493600000000001</v>
      </c>
      <c r="CC50">
        <v>1.3092092</v>
      </c>
      <c r="CD50">
        <v>0.83448275862068899</v>
      </c>
      <c r="CE50">
        <v>6700</v>
      </c>
      <c r="CF50">
        <v>6700</v>
      </c>
    </row>
    <row r="51" spans="1:84" x14ac:dyDescent="0.3">
      <c r="A51">
        <v>23020</v>
      </c>
      <c r="B51" t="s">
        <v>277</v>
      </c>
      <c r="C51">
        <v>9.5</v>
      </c>
      <c r="D51">
        <v>90.5</v>
      </c>
      <c r="E51">
        <v>48.1</v>
      </c>
      <c r="F51">
        <v>40.884999999999998</v>
      </c>
      <c r="G51">
        <v>1.5</v>
      </c>
      <c r="H51">
        <v>1.80722891566265</v>
      </c>
      <c r="I51">
        <v>1.2450000000000001</v>
      </c>
      <c r="J51">
        <v>7.5</v>
      </c>
      <c r="K51">
        <v>6.84</v>
      </c>
      <c r="L51">
        <v>13.3</v>
      </c>
      <c r="M51">
        <v>10.7</v>
      </c>
      <c r="N51">
        <v>6</v>
      </c>
      <c r="O51">
        <v>27.4</v>
      </c>
      <c r="P51">
        <v>8</v>
      </c>
      <c r="R51">
        <v>8</v>
      </c>
      <c r="S51">
        <v>1052.9450191204601</v>
      </c>
      <c r="T51">
        <v>2321.3073613766701</v>
      </c>
      <c r="U51">
        <v>2321.3073613766701</v>
      </c>
      <c r="V51">
        <v>2321.3073613766701</v>
      </c>
      <c r="W51">
        <v>2321.3073613766701</v>
      </c>
      <c r="X51">
        <v>0.18</v>
      </c>
      <c r="Y51">
        <v>0.18</v>
      </c>
      <c r="Z51">
        <v>0.61980000000000002</v>
      </c>
      <c r="AA51">
        <v>0.61980000000000002</v>
      </c>
      <c r="AB51">
        <v>0.20660000000000001</v>
      </c>
      <c r="AC51">
        <v>0.18996869999999999</v>
      </c>
      <c r="AD51">
        <v>0.23992458</v>
      </c>
      <c r="AE51">
        <v>0.42983130000000003</v>
      </c>
      <c r="AF51">
        <v>280</v>
      </c>
      <c r="AG51">
        <v>0.10970996216897901</v>
      </c>
      <c r="AI51">
        <v>0.06</v>
      </c>
      <c r="AJ51">
        <v>0.04</v>
      </c>
      <c r="AK51">
        <v>1.2</v>
      </c>
      <c r="AL51">
        <v>321.71583585256701</v>
      </c>
      <c r="AM51">
        <v>369.529977412324</v>
      </c>
      <c r="AN51">
        <v>1.5074000000000001</v>
      </c>
      <c r="AO51">
        <v>1.1442028</v>
      </c>
      <c r="AP51">
        <v>0.50024000000000002</v>
      </c>
      <c r="AQ51">
        <v>0.43020639999999999</v>
      </c>
      <c r="AR51">
        <v>0.59162999999999999</v>
      </c>
      <c r="AS51">
        <v>0.46738770000000002</v>
      </c>
      <c r="AT51">
        <v>1.0918699999999999</v>
      </c>
      <c r="AU51">
        <v>0.89759409999999995</v>
      </c>
      <c r="AV51">
        <v>1.2172000000000001</v>
      </c>
      <c r="AW51">
        <v>1.022125</v>
      </c>
      <c r="AX51">
        <v>0.48499999999999999</v>
      </c>
      <c r="AY51">
        <v>0.41847000000000001</v>
      </c>
      <c r="AZ51">
        <v>1.5511999999999999</v>
      </c>
      <c r="BA51">
        <v>1.369888</v>
      </c>
      <c r="BB51">
        <v>2.9443000000000001</v>
      </c>
      <c r="BC51">
        <v>2.5844130000000001</v>
      </c>
      <c r="BD51">
        <v>1.8837999999999999</v>
      </c>
      <c r="BE51">
        <v>1.6395846999999999</v>
      </c>
      <c r="BF51">
        <v>1.0461</v>
      </c>
      <c r="BG51">
        <v>0.92481869999999999</v>
      </c>
      <c r="BH51">
        <v>5.3322000000000003</v>
      </c>
      <c r="BI51">
        <v>4.8760893999999997</v>
      </c>
      <c r="BJ51">
        <v>2.3073000000000001</v>
      </c>
      <c r="BK51">
        <v>2.2666643999999998</v>
      </c>
      <c r="BL51">
        <v>1.6835</v>
      </c>
      <c r="BN51">
        <v>2.1856</v>
      </c>
      <c r="BP51">
        <v>2.6514000000000002</v>
      </c>
      <c r="BR51">
        <v>8.7964000000000002</v>
      </c>
      <c r="BT51">
        <v>2.0051000000000001</v>
      </c>
      <c r="BV51">
        <v>5.3109000000000002</v>
      </c>
      <c r="BX51">
        <v>3.9730599999999998</v>
      </c>
      <c r="BY51">
        <v>2.2666643999999998</v>
      </c>
      <c r="BZ51">
        <v>4.7715199999999998</v>
      </c>
      <c r="CB51">
        <v>1.8133699999999999</v>
      </c>
      <c r="CD51">
        <v>0.47891566265060198</v>
      </c>
      <c r="CE51">
        <v>1848</v>
      </c>
      <c r="CF51">
        <v>1848</v>
      </c>
    </row>
    <row r="52" spans="1:84" x14ac:dyDescent="0.3">
      <c r="A52">
        <v>23040</v>
      </c>
      <c r="B52" t="s">
        <v>278</v>
      </c>
      <c r="C52">
        <v>8.8000000000000007</v>
      </c>
      <c r="D52">
        <v>91.2</v>
      </c>
      <c r="E52">
        <v>16.7</v>
      </c>
      <c r="F52">
        <v>11.189</v>
      </c>
      <c r="G52">
        <v>2.7</v>
      </c>
      <c r="H52">
        <v>3.2530120481927698</v>
      </c>
      <c r="I52">
        <v>1.35</v>
      </c>
      <c r="J52">
        <v>24.7</v>
      </c>
      <c r="K52">
        <v>6.84</v>
      </c>
      <c r="L52">
        <v>41</v>
      </c>
      <c r="M52">
        <v>30.2</v>
      </c>
      <c r="N52">
        <v>10.8</v>
      </c>
      <c r="O52">
        <v>36.299999999999997</v>
      </c>
      <c r="P52">
        <v>3.3</v>
      </c>
      <c r="Q52">
        <v>2.2000000000000002</v>
      </c>
      <c r="R52">
        <v>5.5</v>
      </c>
      <c r="S52">
        <v>523.20624263862305</v>
      </c>
      <c r="T52">
        <v>1153.45291586998</v>
      </c>
      <c r="U52">
        <v>1153.45291586998</v>
      </c>
      <c r="V52">
        <v>1153.45291586998</v>
      </c>
      <c r="W52">
        <v>1153.45291586998</v>
      </c>
      <c r="X52">
        <v>1.7496</v>
      </c>
      <c r="Y52">
        <v>1.7496</v>
      </c>
      <c r="Z52">
        <v>0.30024000000000001</v>
      </c>
      <c r="AA52">
        <v>0.30024000000000001</v>
      </c>
      <c r="AB52">
        <v>0.10008</v>
      </c>
      <c r="AC52">
        <v>0.30024000000000001</v>
      </c>
      <c r="AD52">
        <v>0.24019199999999999</v>
      </c>
      <c r="AF52">
        <v>200</v>
      </c>
      <c r="AG52">
        <v>0.50063051702396</v>
      </c>
      <c r="AI52">
        <v>0.09</v>
      </c>
      <c r="AJ52">
        <v>0.47</v>
      </c>
      <c r="AK52">
        <v>2.2999999999999998</v>
      </c>
      <c r="AL52">
        <v>494.78859761536302</v>
      </c>
      <c r="AM52">
        <v>1043.9086441916299</v>
      </c>
      <c r="AN52">
        <v>0.72019999999999995</v>
      </c>
      <c r="AO52">
        <v>0.4029877</v>
      </c>
      <c r="AP52">
        <v>0.27555000000000002</v>
      </c>
      <c r="AQ52">
        <v>0.20115150000000001</v>
      </c>
      <c r="AR52">
        <v>0.21543000000000001</v>
      </c>
      <c r="AS52">
        <v>8.6171999999999999E-2</v>
      </c>
      <c r="AT52">
        <v>0.49098000000000003</v>
      </c>
      <c r="AU52">
        <v>0.28732350000000001</v>
      </c>
      <c r="AV52">
        <v>0.65839999999999999</v>
      </c>
      <c r="AW52">
        <v>0.45886589999999999</v>
      </c>
      <c r="AX52">
        <v>0.23319999999999999</v>
      </c>
      <c r="AY52">
        <v>0.16533</v>
      </c>
      <c r="AZ52">
        <v>0.65639999999999998</v>
      </c>
      <c r="BA52">
        <v>0.50921640000000001</v>
      </c>
      <c r="BB52">
        <v>1.1103000000000001</v>
      </c>
      <c r="BC52">
        <v>0.923176</v>
      </c>
      <c r="BD52">
        <v>0.81940000000000002</v>
      </c>
      <c r="BE52">
        <v>0.60621000000000003</v>
      </c>
      <c r="BF52">
        <v>0.31209999999999999</v>
      </c>
      <c r="BG52">
        <v>0.24963160000000001</v>
      </c>
      <c r="BH52">
        <v>0.87507999999999997</v>
      </c>
      <c r="BI52">
        <v>0.76131959999999999</v>
      </c>
      <c r="BJ52">
        <v>0.75800000000000001</v>
      </c>
      <c r="BK52">
        <v>0.59268299999999996</v>
      </c>
      <c r="BL52">
        <v>0.58450000000000002</v>
      </c>
      <c r="BN52">
        <v>0.69030000000000002</v>
      </c>
      <c r="BP52">
        <v>0.78820000000000001</v>
      </c>
      <c r="BR52">
        <v>1.9271799999999999</v>
      </c>
      <c r="BT52">
        <v>0.96099999999999997</v>
      </c>
      <c r="BV52">
        <v>1.7482</v>
      </c>
      <c r="BX52">
        <v>1.3443499999999999</v>
      </c>
      <c r="BY52">
        <v>0.59268299999999996</v>
      </c>
      <c r="BZ52">
        <v>1.4896400000000001</v>
      </c>
      <c r="CB52">
        <v>0.91849999999999998</v>
      </c>
      <c r="CD52">
        <v>0.71566265060240897</v>
      </c>
      <c r="CE52">
        <v>1401</v>
      </c>
      <c r="CF52">
        <v>1401</v>
      </c>
    </row>
    <row r="53" spans="1:84" x14ac:dyDescent="0.3">
      <c r="A53">
        <v>23041</v>
      </c>
      <c r="B53" t="s">
        <v>279</v>
      </c>
      <c r="C53">
        <v>6.4000000000000101</v>
      </c>
      <c r="D53">
        <v>93.6</v>
      </c>
      <c r="E53">
        <v>13.6</v>
      </c>
      <c r="F53">
        <v>9.3517894736842102</v>
      </c>
      <c r="G53">
        <v>1.7</v>
      </c>
      <c r="H53">
        <v>1.9956750077231999</v>
      </c>
      <c r="I53">
        <v>0.87236842105263102</v>
      </c>
      <c r="J53">
        <v>32.1</v>
      </c>
      <c r="K53">
        <v>6.84</v>
      </c>
      <c r="L53">
        <v>59.8</v>
      </c>
      <c r="M53">
        <v>36.299999999999997</v>
      </c>
      <c r="N53">
        <v>10.9</v>
      </c>
      <c r="O53">
        <v>35.299999999999997</v>
      </c>
      <c r="P53">
        <v>3.3868421052631601</v>
      </c>
      <c r="Q53">
        <v>2.2578947368421098</v>
      </c>
      <c r="R53">
        <v>5.6447368421052699</v>
      </c>
      <c r="S53">
        <v>468.304805781423</v>
      </c>
      <c r="T53">
        <v>1032.41800216363</v>
      </c>
      <c r="U53">
        <v>1032.41800216363</v>
      </c>
      <c r="V53">
        <v>1032.41800216363</v>
      </c>
      <c r="W53">
        <v>1032.41800216363</v>
      </c>
      <c r="X53">
        <v>1.8122684210526301</v>
      </c>
      <c r="Y53">
        <v>1.8122684210526301</v>
      </c>
      <c r="Z53">
        <v>0.31099421052631598</v>
      </c>
      <c r="AA53">
        <v>0.31099421052631598</v>
      </c>
      <c r="AB53">
        <v>0.103664736842105</v>
      </c>
      <c r="AC53">
        <v>0.31099421052631598</v>
      </c>
      <c r="AD53">
        <v>0.25534261495844901</v>
      </c>
      <c r="AF53">
        <v>200</v>
      </c>
      <c r="AG53">
        <v>0.51380500431406495</v>
      </c>
      <c r="AI53" s="9">
        <v>9.23684210526316E-2</v>
      </c>
      <c r="AJ53">
        <v>0.482368421052632</v>
      </c>
      <c r="AK53">
        <v>2.3605263157894698</v>
      </c>
      <c r="AL53">
        <v>507.809350184187</v>
      </c>
      <c r="AM53">
        <v>1076.002970043</v>
      </c>
      <c r="AN53">
        <v>0.54659999999999997</v>
      </c>
      <c r="AO53">
        <v>0.34568158836565099</v>
      </c>
      <c r="AP53">
        <v>0.23030526315789501</v>
      </c>
      <c r="AQ53">
        <v>0.172547127423823</v>
      </c>
      <c r="AR53">
        <v>0.18005684210526299</v>
      </c>
      <c r="AS53" s="9">
        <v>7.3918072022160705E-2</v>
      </c>
      <c r="AT53">
        <v>0.41036210526315797</v>
      </c>
      <c r="AU53">
        <v>0.246465199445984</v>
      </c>
      <c r="AV53">
        <v>0.5282</v>
      </c>
      <c r="AW53">
        <v>0.39361373351800599</v>
      </c>
      <c r="AX53">
        <v>0.18360000000000001</v>
      </c>
      <c r="AY53">
        <v>0.14181955678670299</v>
      </c>
      <c r="AZ53">
        <v>0.5262</v>
      </c>
      <c r="BA53">
        <v>0.43680423490304698</v>
      </c>
      <c r="BB53">
        <v>0.89639999999999997</v>
      </c>
      <c r="BC53">
        <v>0.79189748476454302</v>
      </c>
      <c r="BD53">
        <v>0.65820000000000001</v>
      </c>
      <c r="BE53">
        <v>0.52000504155124705</v>
      </c>
      <c r="BF53">
        <v>0.27179999999999999</v>
      </c>
      <c r="BG53">
        <v>0.21413320554016599</v>
      </c>
      <c r="BH53">
        <v>0.73139368421052697</v>
      </c>
      <c r="BI53">
        <v>0.65305757119113605</v>
      </c>
      <c r="BJ53">
        <v>0.60299999999999998</v>
      </c>
      <c r="BK53">
        <v>0.50840162326869798</v>
      </c>
      <c r="BL53">
        <v>0.48852631578947298</v>
      </c>
      <c r="BN53">
        <v>0.56940000000000002</v>
      </c>
      <c r="BP53">
        <v>0.67659999999999998</v>
      </c>
      <c r="BR53">
        <v>1.61074105263158</v>
      </c>
      <c r="BT53">
        <v>0.74399999999999999</v>
      </c>
      <c r="BV53">
        <v>1.3575999999999999</v>
      </c>
      <c r="BX53">
        <v>1.1236105263157901</v>
      </c>
      <c r="BY53">
        <v>0.50840162326869798</v>
      </c>
      <c r="BZ53">
        <v>1.24504421052632</v>
      </c>
      <c r="CB53">
        <v>0.76768421052631497</v>
      </c>
      <c r="CD53">
        <v>0.45060240963855303</v>
      </c>
      <c r="CE53">
        <v>1437.8684210526301</v>
      </c>
      <c r="CF53">
        <v>1437.8684210526301</v>
      </c>
    </row>
    <row r="54" spans="1:84" x14ac:dyDescent="0.3">
      <c r="A54">
        <v>23060</v>
      </c>
      <c r="B54" t="s">
        <v>280</v>
      </c>
      <c r="C54">
        <v>10</v>
      </c>
      <c r="D54">
        <v>90</v>
      </c>
      <c r="E54">
        <v>41.4</v>
      </c>
      <c r="F54">
        <v>26.91</v>
      </c>
      <c r="G54">
        <v>1.6</v>
      </c>
      <c r="H54">
        <v>2.1333333333333302</v>
      </c>
      <c r="I54">
        <v>1.36</v>
      </c>
      <c r="J54">
        <v>11.1</v>
      </c>
      <c r="K54">
        <v>6.84</v>
      </c>
      <c r="L54">
        <v>20</v>
      </c>
      <c r="M54">
        <v>14.5</v>
      </c>
      <c r="N54">
        <v>6</v>
      </c>
      <c r="O54">
        <v>29.9</v>
      </c>
      <c r="P54">
        <v>1.1000000000000001</v>
      </c>
      <c r="Q54">
        <v>1.7</v>
      </c>
      <c r="R54">
        <v>2.8</v>
      </c>
      <c r="S54">
        <v>746.26198279158496</v>
      </c>
      <c r="T54">
        <v>1645.19837476099</v>
      </c>
      <c r="U54">
        <v>1645.19837476099</v>
      </c>
      <c r="V54">
        <v>1645.19837476099</v>
      </c>
      <c r="W54">
        <v>1645.19837476099</v>
      </c>
      <c r="X54">
        <v>0.19980000000000001</v>
      </c>
      <c r="Y54">
        <v>0.19980000000000001</v>
      </c>
      <c r="Z54">
        <v>0.94979999999999998</v>
      </c>
      <c r="AA54">
        <v>0.94979999999999998</v>
      </c>
      <c r="AB54">
        <v>0.31659999999999999</v>
      </c>
      <c r="AC54">
        <v>0.22994658000000001</v>
      </c>
      <c r="AD54">
        <v>0.28997393999999999</v>
      </c>
      <c r="AE54">
        <v>0.71985341999999997</v>
      </c>
      <c r="AF54">
        <v>450</v>
      </c>
      <c r="AG54">
        <v>8.4068936527952998E-2</v>
      </c>
      <c r="AI54">
        <v>0.04</v>
      </c>
      <c r="AJ54">
        <v>0.04</v>
      </c>
      <c r="AK54">
        <v>1.01</v>
      </c>
      <c r="AL54">
        <v>264.42175074370101</v>
      </c>
      <c r="AM54">
        <v>376.223369969744</v>
      </c>
      <c r="AN54">
        <v>1.623</v>
      </c>
      <c r="AO54">
        <v>1.0145898</v>
      </c>
      <c r="AP54">
        <v>0.61339999999999995</v>
      </c>
      <c r="AQ54">
        <v>0.42310799999999998</v>
      </c>
      <c r="AR54">
        <v>0.64780000000000004</v>
      </c>
      <c r="AS54">
        <v>0.470304</v>
      </c>
      <c r="AT54">
        <v>1.2612000000000001</v>
      </c>
      <c r="AU54">
        <v>0.89341199999999998</v>
      </c>
      <c r="AV54">
        <v>1.2884</v>
      </c>
      <c r="AW54">
        <v>0.85863599999999995</v>
      </c>
      <c r="AX54">
        <v>0.49519999999999997</v>
      </c>
      <c r="AY54">
        <v>0.40737600000000002</v>
      </c>
      <c r="AZ54">
        <v>1.2674000000000001</v>
      </c>
      <c r="BA54">
        <v>0.88769880000000001</v>
      </c>
      <c r="BB54">
        <v>2.3525999999999998</v>
      </c>
      <c r="BC54">
        <v>1.6591878</v>
      </c>
      <c r="BD54">
        <v>1.8049999999999999</v>
      </c>
      <c r="BE54">
        <v>1.2874572</v>
      </c>
      <c r="BF54">
        <v>1.1002000000000001</v>
      </c>
      <c r="BG54">
        <v>0.89424000000000003</v>
      </c>
      <c r="BH54">
        <v>4.6155999999999997</v>
      </c>
      <c r="BI54">
        <v>4.1744861999999996</v>
      </c>
      <c r="BJ54">
        <v>2.2069999999999999</v>
      </c>
      <c r="BK54">
        <v>1.7432297999999999</v>
      </c>
      <c r="BL54">
        <v>1.1716200000000001</v>
      </c>
      <c r="BN54">
        <v>1.74</v>
      </c>
      <c r="BO54">
        <v>1.3101858</v>
      </c>
      <c r="BP54">
        <v>1.6704000000000001</v>
      </c>
      <c r="BQ54">
        <v>1.19232</v>
      </c>
      <c r="BR54">
        <v>7.8784000000000001</v>
      </c>
      <c r="BS54">
        <v>6.7001759999999999</v>
      </c>
      <c r="BT54">
        <v>1.5116000000000001</v>
      </c>
      <c r="BU54">
        <v>1.1169720000000001</v>
      </c>
      <c r="BV54">
        <v>3.7138</v>
      </c>
      <c r="BW54">
        <v>2.8160280000000002</v>
      </c>
      <c r="BX54">
        <v>3.3782399999999999</v>
      </c>
      <c r="BY54">
        <v>1.7432297999999999</v>
      </c>
      <c r="BZ54">
        <v>3.3575400000000002</v>
      </c>
      <c r="CA54">
        <v>2.5025057999999998</v>
      </c>
      <c r="CB54">
        <v>1.5442199999999999</v>
      </c>
      <c r="CC54">
        <v>1.1118383999999999</v>
      </c>
      <c r="CD54">
        <v>1.0880000000000001</v>
      </c>
      <c r="CE54">
        <v>2933</v>
      </c>
      <c r="CF54">
        <v>2933</v>
      </c>
    </row>
    <row r="55" spans="1:84" x14ac:dyDescent="0.3">
      <c r="A55">
        <v>23080</v>
      </c>
      <c r="B55" t="s">
        <v>281</v>
      </c>
      <c r="C55">
        <v>8</v>
      </c>
      <c r="D55">
        <v>92</v>
      </c>
      <c r="E55">
        <v>23.4</v>
      </c>
      <c r="F55">
        <v>15.21</v>
      </c>
      <c r="G55">
        <v>1.4</v>
      </c>
      <c r="H55">
        <v>1.75</v>
      </c>
      <c r="I55">
        <v>1.19</v>
      </c>
      <c r="J55">
        <v>30</v>
      </c>
      <c r="K55">
        <v>6.84</v>
      </c>
      <c r="L55">
        <v>55.9</v>
      </c>
      <c r="M55">
        <v>38.799999999999997</v>
      </c>
      <c r="N55">
        <v>2.5</v>
      </c>
      <c r="O55">
        <v>34.700000000000003</v>
      </c>
      <c r="P55">
        <v>8</v>
      </c>
      <c r="R55">
        <v>8</v>
      </c>
      <c r="AF55">
        <v>380</v>
      </c>
      <c r="AG55">
        <v>0.129676334594368</v>
      </c>
      <c r="AI55">
        <v>0.05</v>
      </c>
      <c r="AJ55">
        <v>0.08</v>
      </c>
      <c r="AK55">
        <v>0.76</v>
      </c>
      <c r="AL55">
        <v>193.554514379571</v>
      </c>
      <c r="AM55">
        <v>918.62861829788994</v>
      </c>
      <c r="AN55">
        <v>0.65480000000000005</v>
      </c>
      <c r="AO55">
        <v>0.54493919999999996</v>
      </c>
      <c r="AP55">
        <v>0.3296</v>
      </c>
      <c r="AQ55">
        <v>0.27249299999999999</v>
      </c>
      <c r="AR55">
        <v>0.33900000000000002</v>
      </c>
      <c r="AS55">
        <v>0.27027000000000001</v>
      </c>
      <c r="AT55">
        <v>0.66859999999999997</v>
      </c>
      <c r="AU55">
        <v>0.542763</v>
      </c>
      <c r="AV55">
        <v>0.69479999999999997</v>
      </c>
      <c r="AW55">
        <v>0.50733539999999999</v>
      </c>
      <c r="AX55">
        <v>0.26441999999999999</v>
      </c>
      <c r="AY55">
        <v>0.20889179999999999</v>
      </c>
      <c r="AZ55">
        <v>0.78859999999999997</v>
      </c>
      <c r="BA55">
        <v>0.64396799999999998</v>
      </c>
      <c r="BB55">
        <v>1.3848</v>
      </c>
      <c r="BC55">
        <v>1.1486124</v>
      </c>
      <c r="BD55">
        <v>1.1040000000000001</v>
      </c>
      <c r="BE55">
        <v>0.93443220000000005</v>
      </c>
      <c r="BF55">
        <v>0.92200000000000004</v>
      </c>
      <c r="BG55">
        <v>0.43973279999999998</v>
      </c>
      <c r="BH55">
        <v>1.9234</v>
      </c>
      <c r="BI55">
        <v>1.6589664</v>
      </c>
      <c r="BJ55">
        <v>0.9516</v>
      </c>
      <c r="BK55">
        <v>0.80744039999999995</v>
      </c>
      <c r="BL55">
        <v>0.70901999999999998</v>
      </c>
      <c r="BN55">
        <v>0.93740000000000001</v>
      </c>
      <c r="BP55">
        <v>1.2123999999999999</v>
      </c>
      <c r="BR55">
        <v>4.1622000000000003</v>
      </c>
      <c r="BT55">
        <v>0.91080000000000005</v>
      </c>
      <c r="BV55">
        <v>2.1164000000000001</v>
      </c>
      <c r="BX55">
        <v>1.7058599999999999</v>
      </c>
      <c r="BY55">
        <v>0.80744039999999995</v>
      </c>
      <c r="BZ55">
        <v>2.1879</v>
      </c>
      <c r="CB55">
        <v>0.95004</v>
      </c>
      <c r="CE55">
        <v>820</v>
      </c>
      <c r="CF55">
        <v>820</v>
      </c>
    </row>
    <row r="56" spans="1:84" x14ac:dyDescent="0.3">
      <c r="A56">
        <v>23100</v>
      </c>
      <c r="B56" t="s">
        <v>282</v>
      </c>
      <c r="C56">
        <v>9.6999999999999993</v>
      </c>
      <c r="D56">
        <v>90.3</v>
      </c>
      <c r="E56">
        <v>35.4</v>
      </c>
      <c r="F56">
        <v>30.09</v>
      </c>
      <c r="G56">
        <v>1.9</v>
      </c>
      <c r="H56">
        <v>2.5333333333333301</v>
      </c>
      <c r="I56">
        <v>1.615</v>
      </c>
      <c r="J56">
        <v>18.2</v>
      </c>
      <c r="K56">
        <v>6.84</v>
      </c>
      <c r="L56">
        <v>33</v>
      </c>
      <c r="M56">
        <v>23</v>
      </c>
      <c r="N56">
        <v>7</v>
      </c>
      <c r="O56">
        <v>27.8</v>
      </c>
      <c r="P56">
        <v>4</v>
      </c>
      <c r="Q56">
        <v>2</v>
      </c>
      <c r="R56">
        <v>6</v>
      </c>
      <c r="S56">
        <v>698.693393116636</v>
      </c>
      <c r="T56">
        <v>1540.3293499044</v>
      </c>
      <c r="U56">
        <v>1540.3293499044</v>
      </c>
      <c r="V56">
        <v>1540.3293499044</v>
      </c>
      <c r="W56">
        <v>1540.3293499044</v>
      </c>
      <c r="X56">
        <v>0.24990000000000001</v>
      </c>
      <c r="Y56">
        <v>0.24990000000000001</v>
      </c>
      <c r="Z56">
        <v>0.9002</v>
      </c>
      <c r="AA56">
        <v>0.9002</v>
      </c>
      <c r="AB56">
        <v>0.30006666666666698</v>
      </c>
      <c r="AC56">
        <v>0.10001222</v>
      </c>
      <c r="AD56">
        <v>0.25007555999999997</v>
      </c>
      <c r="AE56">
        <v>0.80018778000000002</v>
      </c>
      <c r="AF56">
        <v>482</v>
      </c>
      <c r="AG56">
        <v>0.15783942833123199</v>
      </c>
      <c r="AI56">
        <v>0.04</v>
      </c>
      <c r="AJ56">
        <v>0.13</v>
      </c>
      <c r="AK56">
        <v>1.27</v>
      </c>
      <c r="AL56">
        <v>305.52664302246802</v>
      </c>
      <c r="AM56">
        <v>730.31453964565696</v>
      </c>
      <c r="AN56">
        <v>1.2141999999999999</v>
      </c>
      <c r="AO56">
        <v>1.0526544</v>
      </c>
      <c r="AP56">
        <v>0.7712</v>
      </c>
      <c r="AQ56">
        <v>0.71323919999999996</v>
      </c>
      <c r="AR56">
        <v>0.59379999999999999</v>
      </c>
      <c r="AS56">
        <v>0.43340220000000002</v>
      </c>
      <c r="AT56">
        <v>1.365</v>
      </c>
      <c r="AU56">
        <v>1.1466414</v>
      </c>
      <c r="AV56">
        <v>1.2589999999999999</v>
      </c>
      <c r="AW56">
        <v>0.99403200000000003</v>
      </c>
      <c r="AX56">
        <v>0.46260000000000001</v>
      </c>
      <c r="AY56">
        <v>0.41885280000000003</v>
      </c>
      <c r="AZ56">
        <v>1.4177999999999999</v>
      </c>
      <c r="BA56">
        <v>1.2147155999999999</v>
      </c>
      <c r="BB56">
        <v>2.1932</v>
      </c>
      <c r="BC56">
        <v>1.8168696</v>
      </c>
      <c r="BD56">
        <v>1.7403999999999999</v>
      </c>
      <c r="BE56">
        <v>1.4162124</v>
      </c>
      <c r="BF56">
        <v>0.85399999999999998</v>
      </c>
      <c r="BG56">
        <v>0.71915099999999998</v>
      </c>
      <c r="BH56">
        <v>2.8603999999999998</v>
      </c>
      <c r="BI56">
        <v>2.5577915999999998</v>
      </c>
      <c r="BJ56">
        <v>1.6162000000000001</v>
      </c>
      <c r="BK56">
        <v>1.3608468</v>
      </c>
      <c r="BL56">
        <v>0.95933999999999997</v>
      </c>
      <c r="BM56">
        <v>0.81543900000000002</v>
      </c>
      <c r="BN56">
        <v>1.4594</v>
      </c>
      <c r="BO56">
        <v>1.1930508</v>
      </c>
      <c r="BP56">
        <v>2.0324</v>
      </c>
      <c r="BQ56">
        <v>1.4401782000000001</v>
      </c>
      <c r="BR56">
        <v>6.7043999999999997</v>
      </c>
      <c r="BS56">
        <v>5.9004719999999997</v>
      </c>
      <c r="BT56">
        <v>1.5156000000000001</v>
      </c>
      <c r="BU56">
        <v>1.2512483999999999</v>
      </c>
      <c r="BV56">
        <v>3.1534</v>
      </c>
      <c r="BW56">
        <v>2.5856159999999999</v>
      </c>
      <c r="BX56">
        <v>2.5417200000000002</v>
      </c>
      <c r="BY56">
        <v>2.1762858</v>
      </c>
      <c r="BZ56">
        <v>3.4833599999999998</v>
      </c>
      <c r="CA56">
        <v>2.633229</v>
      </c>
      <c r="CB56">
        <v>1.47618</v>
      </c>
      <c r="CC56">
        <v>1.254753</v>
      </c>
      <c r="CD56">
        <v>1.6466666666666601</v>
      </c>
      <c r="CE56">
        <v>3791</v>
      </c>
      <c r="CF56">
        <v>3791</v>
      </c>
    </row>
    <row r="57" spans="1:84" x14ac:dyDescent="0.3">
      <c r="A57">
        <v>23110</v>
      </c>
      <c r="B57" t="s">
        <v>283</v>
      </c>
      <c r="C57">
        <v>9.6999999999999993</v>
      </c>
      <c r="D57">
        <v>90.3</v>
      </c>
      <c r="E57">
        <v>39.799999999999997</v>
      </c>
      <c r="F57">
        <v>33.83</v>
      </c>
      <c r="G57">
        <v>0.8</v>
      </c>
      <c r="H57">
        <v>1.06666666666667</v>
      </c>
      <c r="I57">
        <v>0.68</v>
      </c>
      <c r="J57">
        <v>11</v>
      </c>
      <c r="K57">
        <v>6.84</v>
      </c>
      <c r="L57">
        <v>19.95</v>
      </c>
      <c r="M57">
        <v>13.9</v>
      </c>
      <c r="N57">
        <v>7</v>
      </c>
      <c r="O57">
        <v>31.7</v>
      </c>
      <c r="P57">
        <v>4</v>
      </c>
      <c r="Q57">
        <v>2</v>
      </c>
      <c r="R57">
        <v>6</v>
      </c>
      <c r="S57">
        <v>718.107993499043</v>
      </c>
      <c r="T57">
        <v>1583.13049713193</v>
      </c>
      <c r="U57">
        <v>1583.13049713193</v>
      </c>
      <c r="V57">
        <v>1583.13049713193</v>
      </c>
      <c r="W57">
        <v>1583.13049713193</v>
      </c>
      <c r="X57">
        <v>0.24990000000000001</v>
      </c>
      <c r="Y57">
        <v>0.24990000000000001</v>
      </c>
      <c r="Z57">
        <v>0.9002</v>
      </c>
      <c r="AA57">
        <v>0.9002</v>
      </c>
      <c r="AB57">
        <v>0.30006666666666698</v>
      </c>
      <c r="AC57">
        <v>0.10001222</v>
      </c>
      <c r="AD57">
        <v>0.25007555999999997</v>
      </c>
      <c r="AE57">
        <v>0.80018778000000002</v>
      </c>
      <c r="AF57">
        <v>510</v>
      </c>
      <c r="AG57">
        <v>0.15783942833123199</v>
      </c>
      <c r="AI57">
        <v>0.04</v>
      </c>
      <c r="AJ57">
        <v>0.13</v>
      </c>
      <c r="AK57">
        <v>1.27</v>
      </c>
      <c r="AL57">
        <v>305.52664302246802</v>
      </c>
      <c r="AM57">
        <v>730.31453964565696</v>
      </c>
      <c r="AN57">
        <v>1.3593999999999999</v>
      </c>
      <c r="AO57">
        <v>1.1834928</v>
      </c>
      <c r="AP57">
        <v>0.87239999999999995</v>
      </c>
      <c r="AQ57">
        <v>0.8018904</v>
      </c>
      <c r="AR57">
        <v>0.66859999999999997</v>
      </c>
      <c r="AS57">
        <v>0.48727140000000002</v>
      </c>
      <c r="AT57">
        <v>1.5409999999999999</v>
      </c>
      <c r="AU57">
        <v>1.2891618</v>
      </c>
      <c r="AV57">
        <v>1.413</v>
      </c>
      <c r="AW57">
        <v>1.1175839999999999</v>
      </c>
      <c r="AX57">
        <v>0.5242</v>
      </c>
      <c r="AY57">
        <v>0.47091359999999999</v>
      </c>
      <c r="AZ57">
        <v>1.6026</v>
      </c>
      <c r="BA57">
        <v>1.3656972000000001</v>
      </c>
      <c r="BB57">
        <v>2.4704000000000002</v>
      </c>
      <c r="BC57">
        <v>2.0426951999999998</v>
      </c>
      <c r="BD57">
        <v>1.9648000000000001</v>
      </c>
      <c r="BE57">
        <v>1.5922388000000001</v>
      </c>
      <c r="BF57">
        <v>0.96399999999999997</v>
      </c>
      <c r="BG57">
        <v>0.80853699999999995</v>
      </c>
      <c r="BH57">
        <v>3.2608000000000001</v>
      </c>
      <c r="BI57">
        <v>2.8757092000000002</v>
      </c>
      <c r="BJ57">
        <v>1.8273999999999999</v>
      </c>
      <c r="BK57">
        <v>1.5299916</v>
      </c>
      <c r="BL57">
        <v>1.0785800000000001</v>
      </c>
      <c r="BM57">
        <v>0.91679299999999997</v>
      </c>
      <c r="BN57">
        <v>1.6397999999999999</v>
      </c>
      <c r="BO57">
        <v>1.3413396</v>
      </c>
      <c r="BP57">
        <v>2.2787999999999999</v>
      </c>
      <c r="BQ57">
        <v>1.6191834000000001</v>
      </c>
      <c r="BR57">
        <v>7.6327999999999996</v>
      </c>
      <c r="BS57">
        <v>6.633864</v>
      </c>
      <c r="BT57">
        <v>1.7092000000000001</v>
      </c>
      <c r="BU57">
        <v>1.4067708000000001</v>
      </c>
      <c r="BV57">
        <v>3.5537999999999998</v>
      </c>
      <c r="BW57">
        <v>2.9069919999999998</v>
      </c>
      <c r="BX57">
        <v>2.85764</v>
      </c>
      <c r="BY57">
        <v>2.4467846</v>
      </c>
      <c r="BZ57">
        <v>3.9163199999999998</v>
      </c>
      <c r="CA57">
        <v>2.9605229999999998</v>
      </c>
      <c r="CB57">
        <v>1.6596599999999999</v>
      </c>
      <c r="CC57">
        <v>1.410711</v>
      </c>
      <c r="CD57">
        <v>0.69333333333333502</v>
      </c>
      <c r="CE57">
        <v>3791</v>
      </c>
      <c r="CF57">
        <v>3791</v>
      </c>
    </row>
    <row r="58" spans="1:84" x14ac:dyDescent="0.3">
      <c r="A58">
        <v>23500</v>
      </c>
      <c r="B58" t="s">
        <v>284</v>
      </c>
      <c r="C58">
        <v>10.4</v>
      </c>
      <c r="D58">
        <v>89.6</v>
      </c>
      <c r="E58">
        <v>24.5</v>
      </c>
      <c r="F58">
        <v>21.315000000000001</v>
      </c>
      <c r="G58">
        <v>9.8000000000000007</v>
      </c>
      <c r="H58">
        <v>10.6521739130435</v>
      </c>
      <c r="I58">
        <v>7.35</v>
      </c>
      <c r="J58">
        <v>8</v>
      </c>
      <c r="K58">
        <v>6.84</v>
      </c>
      <c r="L58">
        <v>36.9</v>
      </c>
      <c r="M58">
        <v>12.5</v>
      </c>
      <c r="N58">
        <v>5.8</v>
      </c>
      <c r="O58">
        <v>41.5</v>
      </c>
      <c r="P58">
        <v>2</v>
      </c>
      <c r="Q58">
        <v>8.6999999999999993</v>
      </c>
      <c r="R58">
        <v>10.7</v>
      </c>
      <c r="S58">
        <v>1148.5566137667299</v>
      </c>
      <c r="T58">
        <v>2532.0913001911999</v>
      </c>
      <c r="U58">
        <v>2532.0913001911999</v>
      </c>
      <c r="V58">
        <v>2532.0913001911999</v>
      </c>
      <c r="W58">
        <v>2532.0913001911999</v>
      </c>
      <c r="X58">
        <v>0.13977999999999999</v>
      </c>
      <c r="Y58">
        <v>0.13977999999999999</v>
      </c>
      <c r="Z58">
        <v>0.74994000000000005</v>
      </c>
      <c r="AA58">
        <v>0.74994000000000005</v>
      </c>
      <c r="AB58">
        <v>0.24998000000000001</v>
      </c>
      <c r="AC58">
        <v>0.51993340200000004</v>
      </c>
      <c r="AD58">
        <v>0.33994780200000002</v>
      </c>
      <c r="AE58">
        <v>0.23000659800000001</v>
      </c>
      <c r="AF58">
        <v>100</v>
      </c>
      <c r="AG58">
        <v>0.23623371164354801</v>
      </c>
      <c r="AI58">
        <v>0.05</v>
      </c>
      <c r="AJ58">
        <v>0.21</v>
      </c>
      <c r="AK58">
        <v>1</v>
      </c>
      <c r="AL58">
        <v>218.26108088795201</v>
      </c>
      <c r="AM58">
        <v>-52.002352540098997</v>
      </c>
      <c r="AN58">
        <v>0.72030000000000005</v>
      </c>
      <c r="AO58">
        <v>0.43938300000000002</v>
      </c>
      <c r="AP58">
        <v>0.48499999999999999</v>
      </c>
      <c r="AQ58">
        <v>0.38839849999999998</v>
      </c>
      <c r="AR58">
        <v>0.42099999999999999</v>
      </c>
      <c r="AS58">
        <v>0.349713</v>
      </c>
      <c r="AT58">
        <v>0.94599999999999995</v>
      </c>
      <c r="AU58">
        <v>0.73811150000000003</v>
      </c>
      <c r="AV58">
        <v>0.91</v>
      </c>
      <c r="AW58">
        <v>0.61703249999999998</v>
      </c>
      <c r="AX58">
        <v>0.19355</v>
      </c>
      <c r="AY58">
        <v>0.15677550000000001</v>
      </c>
      <c r="AZ58">
        <v>0.85299999999999998</v>
      </c>
      <c r="BA58">
        <v>0.67536700000000005</v>
      </c>
      <c r="BB58">
        <v>2.6875</v>
      </c>
      <c r="BC58">
        <v>2.2411620000000001</v>
      </c>
      <c r="BD58">
        <v>1.1735</v>
      </c>
      <c r="BE58">
        <v>0.86729999999999996</v>
      </c>
      <c r="BF58">
        <v>0.65500000000000003</v>
      </c>
      <c r="BG58">
        <v>0.44357249999999998</v>
      </c>
      <c r="BH58">
        <v>1.0829</v>
      </c>
      <c r="BI58">
        <v>0.86631999999999998</v>
      </c>
      <c r="BJ58">
        <v>1.1459999999999999</v>
      </c>
      <c r="BK58">
        <v>0.907725</v>
      </c>
      <c r="BL58">
        <v>0.94550000000000001</v>
      </c>
      <c r="BM58">
        <v>0.99029</v>
      </c>
      <c r="BN58">
        <v>1.133</v>
      </c>
      <c r="BO58">
        <v>0.95371150000000005</v>
      </c>
      <c r="BP58">
        <v>0.99099999999999999</v>
      </c>
      <c r="BQ58">
        <v>0.65307199999999999</v>
      </c>
      <c r="BR58">
        <v>4.0990000000000002</v>
      </c>
      <c r="BS58">
        <v>3.2535755000000002</v>
      </c>
      <c r="BT58">
        <v>1.982</v>
      </c>
      <c r="BU58">
        <v>1.5657705</v>
      </c>
      <c r="BV58">
        <v>1.5545</v>
      </c>
      <c r="BW58">
        <v>1.0478160000000001</v>
      </c>
      <c r="BX58">
        <v>2.2172499999999999</v>
      </c>
      <c r="BY58">
        <v>1.898015</v>
      </c>
      <c r="BZ58">
        <v>2.1094499999999998</v>
      </c>
      <c r="CA58">
        <v>1.6067834999999999</v>
      </c>
      <c r="CB58">
        <v>1.6856</v>
      </c>
      <c r="CC58">
        <v>1.3653360000000001</v>
      </c>
      <c r="CD58">
        <v>5.9652173913043596</v>
      </c>
      <c r="CE58">
        <v>2630</v>
      </c>
      <c r="CF58">
        <v>2630</v>
      </c>
    </row>
    <row r="59" spans="1:84" x14ac:dyDescent="0.3">
      <c r="A59">
        <v>23510</v>
      </c>
      <c r="B59" t="s">
        <v>285</v>
      </c>
      <c r="C59">
        <v>10.4</v>
      </c>
      <c r="D59">
        <v>89.6</v>
      </c>
      <c r="E59">
        <v>24.5</v>
      </c>
      <c r="F59">
        <v>21.315000000000001</v>
      </c>
      <c r="G59">
        <v>9.8000000000000007</v>
      </c>
      <c r="H59">
        <v>10.6521739130435</v>
      </c>
      <c r="I59">
        <v>7.35</v>
      </c>
      <c r="J59">
        <v>8</v>
      </c>
      <c r="K59">
        <v>6.84</v>
      </c>
      <c r="L59">
        <v>36.9</v>
      </c>
      <c r="M59">
        <v>12.5</v>
      </c>
      <c r="N59">
        <v>5.8</v>
      </c>
      <c r="O59">
        <v>41.5</v>
      </c>
      <c r="P59">
        <v>2</v>
      </c>
      <c r="Q59">
        <v>8.6999999999999993</v>
      </c>
      <c r="R59">
        <v>10.7</v>
      </c>
      <c r="S59">
        <v>1148.5566137667299</v>
      </c>
      <c r="T59">
        <v>2532.0913001911999</v>
      </c>
      <c r="U59">
        <v>2532.0913001911999</v>
      </c>
      <c r="V59">
        <v>2532.0913001911999</v>
      </c>
      <c r="W59">
        <v>2532.0913001911999</v>
      </c>
      <c r="X59">
        <v>0.13977999999999999</v>
      </c>
      <c r="Y59">
        <v>0.13977999999999999</v>
      </c>
      <c r="Z59">
        <v>0.74994000000000005</v>
      </c>
      <c r="AA59">
        <v>0.74994000000000005</v>
      </c>
      <c r="AB59">
        <v>0.24998000000000001</v>
      </c>
      <c r="AC59">
        <v>0.51993340200000004</v>
      </c>
      <c r="AD59">
        <v>0.33994780200000002</v>
      </c>
      <c r="AE59">
        <v>0.23000659800000001</v>
      </c>
      <c r="AF59">
        <v>100</v>
      </c>
      <c r="AG59">
        <v>0.23623371164354801</v>
      </c>
      <c r="AI59">
        <v>0.05</v>
      </c>
      <c r="AJ59">
        <v>0.21</v>
      </c>
      <c r="AK59">
        <v>1</v>
      </c>
      <c r="AL59">
        <v>218.26108088795201</v>
      </c>
      <c r="AM59">
        <v>-52.002352540098997</v>
      </c>
      <c r="AN59">
        <v>0.72030000000000005</v>
      </c>
      <c r="AO59">
        <v>0.43938300000000002</v>
      </c>
      <c r="AP59">
        <v>0.48499999999999999</v>
      </c>
      <c r="AQ59">
        <v>0.38839849999999998</v>
      </c>
      <c r="AR59">
        <v>0.42099999999999999</v>
      </c>
      <c r="AS59">
        <v>0.349713</v>
      </c>
      <c r="AT59">
        <v>0.94599999999999995</v>
      </c>
      <c r="AU59">
        <v>0.73811150000000003</v>
      </c>
      <c r="AV59">
        <v>0.91</v>
      </c>
      <c r="AW59">
        <v>0.61703249999999998</v>
      </c>
      <c r="AX59">
        <v>0.19355</v>
      </c>
      <c r="AY59">
        <v>0.15677550000000001</v>
      </c>
      <c r="AZ59">
        <v>0.85299999999999998</v>
      </c>
      <c r="BA59">
        <v>0.67536700000000005</v>
      </c>
      <c r="BB59">
        <v>2.6875</v>
      </c>
      <c r="BC59">
        <v>2.2411620000000001</v>
      </c>
      <c r="BD59">
        <v>1.1735</v>
      </c>
      <c r="BE59">
        <v>0.86729999999999996</v>
      </c>
      <c r="BF59">
        <v>0.65500000000000003</v>
      </c>
      <c r="BG59">
        <v>0.44357249999999998</v>
      </c>
      <c r="BH59">
        <v>1.0829</v>
      </c>
      <c r="BI59">
        <v>0.86631999999999998</v>
      </c>
      <c r="BJ59">
        <v>1.1459999999999999</v>
      </c>
      <c r="BK59">
        <v>0.907725</v>
      </c>
      <c r="BL59">
        <v>0.94550000000000001</v>
      </c>
      <c r="BM59">
        <v>0.99029</v>
      </c>
      <c r="BN59">
        <v>1.133</v>
      </c>
      <c r="BO59">
        <v>0.95371150000000005</v>
      </c>
      <c r="BP59">
        <v>0.99099999999999999</v>
      </c>
      <c r="BQ59">
        <v>0.65307199999999999</v>
      </c>
      <c r="BR59">
        <v>4.0990000000000002</v>
      </c>
      <c r="BS59">
        <v>3.2535755000000002</v>
      </c>
      <c r="BT59">
        <v>1.982</v>
      </c>
      <c r="BU59">
        <v>1.5657705</v>
      </c>
      <c r="BV59">
        <v>1.5545</v>
      </c>
      <c r="BW59">
        <v>1.0478160000000001</v>
      </c>
      <c r="BX59">
        <v>2.2172499999999999</v>
      </c>
      <c r="BY59">
        <v>1.898015</v>
      </c>
      <c r="BZ59">
        <v>2.1094499999999998</v>
      </c>
      <c r="CA59">
        <v>1.6067834999999999</v>
      </c>
      <c r="CB59">
        <v>1.6856</v>
      </c>
      <c r="CC59">
        <v>1.3653360000000001</v>
      </c>
      <c r="CD59">
        <v>5.9652173913043596</v>
      </c>
      <c r="CE59">
        <v>2630</v>
      </c>
      <c r="CF59">
        <v>2630</v>
      </c>
    </row>
    <row r="60" spans="1:84" x14ac:dyDescent="0.3">
      <c r="A60">
        <v>23520</v>
      </c>
      <c r="B60" t="s">
        <v>286</v>
      </c>
      <c r="C60">
        <v>10</v>
      </c>
      <c r="D60">
        <v>90</v>
      </c>
      <c r="E60">
        <v>32</v>
      </c>
      <c r="F60">
        <v>28.16</v>
      </c>
      <c r="G60">
        <v>5.8</v>
      </c>
      <c r="H60">
        <v>6.3043478260869596</v>
      </c>
      <c r="I60">
        <v>4.0599999999999996</v>
      </c>
      <c r="J60">
        <v>7.1</v>
      </c>
      <c r="K60">
        <v>6.84</v>
      </c>
      <c r="L60">
        <v>38.200000000000003</v>
      </c>
      <c r="M60">
        <v>15.7</v>
      </c>
      <c r="N60">
        <v>5.5</v>
      </c>
      <c r="O60">
        <v>39.6</v>
      </c>
      <c r="P60">
        <v>4.5999999999999996</v>
      </c>
      <c r="Q60">
        <v>2.6</v>
      </c>
      <c r="R60">
        <v>7.2</v>
      </c>
      <c r="S60">
        <v>1153.9783479923501</v>
      </c>
      <c r="T60">
        <v>2544.0439770554499</v>
      </c>
      <c r="U60">
        <v>2544.0439770554499</v>
      </c>
      <c r="V60">
        <v>2544.0439770554499</v>
      </c>
      <c r="W60">
        <v>2544.0439770554499</v>
      </c>
      <c r="X60">
        <v>0.15015000000000001</v>
      </c>
      <c r="Y60">
        <v>0.15015000000000001</v>
      </c>
      <c r="Z60">
        <v>0.88</v>
      </c>
      <c r="AA60">
        <v>0.88</v>
      </c>
      <c r="AB60">
        <v>0.293333333333333</v>
      </c>
      <c r="AC60">
        <v>0.48004000000000002</v>
      </c>
      <c r="AD60">
        <v>0.39001599999999997</v>
      </c>
      <c r="AE60">
        <v>0.39995999999999998</v>
      </c>
      <c r="AF60">
        <v>100</v>
      </c>
      <c r="AG60">
        <v>0.48444724674232797</v>
      </c>
      <c r="AI60">
        <v>0.25</v>
      </c>
      <c r="AJ60">
        <v>0.2</v>
      </c>
      <c r="AK60">
        <v>0.85</v>
      </c>
      <c r="AL60">
        <v>269.75294812843401</v>
      </c>
      <c r="AM60">
        <v>-9.2165536359989897</v>
      </c>
      <c r="AN60">
        <v>0.6784</v>
      </c>
      <c r="AO60">
        <v>0.26457599999999998</v>
      </c>
      <c r="AP60">
        <v>0.48199999999999998</v>
      </c>
      <c r="AQ60">
        <v>0.35520000000000002</v>
      </c>
      <c r="AR60">
        <v>0.627</v>
      </c>
      <c r="AS60">
        <v>0.38908799999999999</v>
      </c>
      <c r="AT60">
        <v>1.109</v>
      </c>
      <c r="AU60">
        <v>0.74428799999999995</v>
      </c>
      <c r="AV60">
        <v>0.97099999999999997</v>
      </c>
      <c r="AW60">
        <v>0.61305600000000005</v>
      </c>
      <c r="AX60">
        <v>0.33600000000000002</v>
      </c>
      <c r="AZ60">
        <v>1.1339999999999999</v>
      </c>
      <c r="BA60">
        <v>0.80409600000000003</v>
      </c>
      <c r="BB60">
        <v>1.72</v>
      </c>
      <c r="BC60">
        <v>1.619712</v>
      </c>
      <c r="BD60">
        <v>1.407</v>
      </c>
      <c r="BE60">
        <v>0.94550400000000001</v>
      </c>
      <c r="BF60">
        <v>0.67</v>
      </c>
      <c r="BG60">
        <v>0.44595200000000002</v>
      </c>
      <c r="BH60">
        <v>1.3344</v>
      </c>
      <c r="BI60">
        <v>0.920736</v>
      </c>
      <c r="BJ60">
        <v>1.452</v>
      </c>
      <c r="BK60">
        <v>1.15968</v>
      </c>
      <c r="BL60">
        <v>1.1488</v>
      </c>
      <c r="BM60">
        <v>1.0798719999999999</v>
      </c>
      <c r="BN60">
        <v>1.462</v>
      </c>
      <c r="BO60">
        <v>1.0275840000000001</v>
      </c>
      <c r="BP60">
        <v>1.286</v>
      </c>
      <c r="BQ60">
        <v>0.77030399999999999</v>
      </c>
      <c r="BR60">
        <v>8.3879999999999999</v>
      </c>
      <c r="BS60">
        <v>6.8870399999999998</v>
      </c>
      <c r="BT60">
        <v>2.948</v>
      </c>
      <c r="BU60">
        <v>2.3930560000000001</v>
      </c>
      <c r="BV60">
        <v>1.6180000000000001</v>
      </c>
      <c r="BW60">
        <v>0.76249599999999995</v>
      </c>
      <c r="BX60">
        <v>2.5983999999999998</v>
      </c>
      <c r="BY60">
        <v>2.2395520000000002</v>
      </c>
      <c r="BZ60">
        <v>2.7328000000000001</v>
      </c>
      <c r="CA60">
        <v>1.7978879999999999</v>
      </c>
      <c r="CB60">
        <v>1.2607999999999999</v>
      </c>
      <c r="CC60">
        <v>0.79430400000000001</v>
      </c>
      <c r="CD60">
        <v>3.5934782608695701</v>
      </c>
      <c r="CE60">
        <v>2640</v>
      </c>
      <c r="CF60">
        <v>2640</v>
      </c>
    </row>
    <row r="61" spans="1:84" x14ac:dyDescent="0.3">
      <c r="A61">
        <v>23530</v>
      </c>
      <c r="B61" t="s">
        <v>287</v>
      </c>
      <c r="C61">
        <v>10</v>
      </c>
      <c r="D61">
        <v>90</v>
      </c>
      <c r="E61">
        <v>32</v>
      </c>
      <c r="F61">
        <v>28.16</v>
      </c>
      <c r="G61">
        <v>5.8</v>
      </c>
      <c r="H61">
        <v>6.3043478260869596</v>
      </c>
      <c r="I61">
        <v>4.0599999999999996</v>
      </c>
      <c r="J61">
        <v>7.1</v>
      </c>
      <c r="K61">
        <v>6.84</v>
      </c>
      <c r="L61">
        <v>38.200000000000003</v>
      </c>
      <c r="M61">
        <v>15.7</v>
      </c>
      <c r="N61">
        <v>5.5</v>
      </c>
      <c r="O61">
        <v>39.6</v>
      </c>
      <c r="P61">
        <v>4.5999999999999996</v>
      </c>
      <c r="Q61">
        <v>2.6</v>
      </c>
      <c r="R61">
        <v>7.2</v>
      </c>
      <c r="S61">
        <v>1153.9783479923501</v>
      </c>
      <c r="T61">
        <v>2544.0439770554499</v>
      </c>
      <c r="U61">
        <v>2544.0439770554499</v>
      </c>
      <c r="V61">
        <v>2544.0439770554499</v>
      </c>
      <c r="W61">
        <v>2544.0439770554499</v>
      </c>
      <c r="X61">
        <v>0.15015000000000001</v>
      </c>
      <c r="Y61">
        <v>0.15015000000000001</v>
      </c>
      <c r="Z61">
        <v>0.88</v>
      </c>
      <c r="AA61">
        <v>0.88</v>
      </c>
      <c r="AB61">
        <v>0.293333333333333</v>
      </c>
      <c r="AC61">
        <v>0.48004000000000002</v>
      </c>
      <c r="AD61">
        <v>0.39001599999999997</v>
      </c>
      <c r="AE61">
        <v>0.39995999999999998</v>
      </c>
      <c r="AF61">
        <v>100</v>
      </c>
      <c r="AG61">
        <v>0.48444724674232797</v>
      </c>
      <c r="AI61">
        <v>0.25</v>
      </c>
      <c r="AJ61">
        <v>0.2</v>
      </c>
      <c r="AK61">
        <v>0.85</v>
      </c>
      <c r="AL61">
        <v>269.75294812843401</v>
      </c>
      <c r="AM61">
        <v>-9.2165536359989897</v>
      </c>
      <c r="AN61">
        <v>0.6784</v>
      </c>
      <c r="AO61">
        <v>0.26457599999999998</v>
      </c>
      <c r="AP61">
        <v>0.48199999999999998</v>
      </c>
      <c r="AQ61">
        <v>0.36480000000000001</v>
      </c>
      <c r="AR61">
        <v>0.627</v>
      </c>
      <c r="AS61">
        <v>0.38908799999999999</v>
      </c>
      <c r="AT61">
        <v>1.109</v>
      </c>
      <c r="AU61">
        <v>0.753888</v>
      </c>
      <c r="AV61">
        <v>0.97099999999999997</v>
      </c>
      <c r="AW61">
        <v>0.61305600000000005</v>
      </c>
      <c r="AX61">
        <v>0.33600000000000002</v>
      </c>
      <c r="AZ61">
        <v>1.1339999999999999</v>
      </c>
      <c r="BA61">
        <v>0.80409600000000003</v>
      </c>
      <c r="BB61">
        <v>1.72</v>
      </c>
      <c r="BC61">
        <v>1.6634880000000001</v>
      </c>
      <c r="BD61">
        <v>1.407</v>
      </c>
      <c r="BE61">
        <v>0.94550400000000001</v>
      </c>
      <c r="BF61">
        <v>0.67</v>
      </c>
      <c r="BG61">
        <v>0.44595200000000002</v>
      </c>
      <c r="BH61">
        <v>1.3344</v>
      </c>
      <c r="BI61">
        <v>0.920736</v>
      </c>
      <c r="BJ61">
        <v>1.452</v>
      </c>
      <c r="BK61">
        <v>1.15968</v>
      </c>
      <c r="BL61">
        <v>1.1488</v>
      </c>
      <c r="BN61">
        <v>1.462</v>
      </c>
      <c r="BO61">
        <v>1.0275840000000001</v>
      </c>
      <c r="BP61">
        <v>1.286</v>
      </c>
      <c r="BQ61">
        <v>0.77030399999999999</v>
      </c>
      <c r="BR61">
        <v>8.3879999999999999</v>
      </c>
      <c r="BS61">
        <v>6.8870399999999998</v>
      </c>
      <c r="BT61">
        <v>2.948</v>
      </c>
      <c r="BU61">
        <v>2.3930560000000001</v>
      </c>
      <c r="BV61">
        <v>1.6180000000000001</v>
      </c>
      <c r="BW61">
        <v>0.76249599999999995</v>
      </c>
      <c r="BX61">
        <v>2.5983999999999998</v>
      </c>
      <c r="BY61">
        <v>1.15968</v>
      </c>
      <c r="BZ61">
        <v>2.7328000000000001</v>
      </c>
      <c r="CA61">
        <v>1.7978879999999999</v>
      </c>
      <c r="CB61">
        <v>1.2607999999999999</v>
      </c>
      <c r="CC61">
        <v>0.79430400000000001</v>
      </c>
      <c r="CD61">
        <v>3.5934782608695701</v>
      </c>
      <c r="CE61">
        <v>2640</v>
      </c>
      <c r="CF61">
        <v>2640</v>
      </c>
    </row>
    <row r="62" spans="1:84" x14ac:dyDescent="0.3">
      <c r="A62">
        <v>23600</v>
      </c>
      <c r="B62" t="s">
        <v>288</v>
      </c>
      <c r="C62">
        <v>88</v>
      </c>
      <c r="D62">
        <v>12</v>
      </c>
      <c r="E62">
        <v>38</v>
      </c>
      <c r="F62">
        <v>34.200000000000003</v>
      </c>
      <c r="G62">
        <v>2.6</v>
      </c>
      <c r="H62">
        <v>2.8260869565217401</v>
      </c>
      <c r="I62">
        <v>2.08</v>
      </c>
      <c r="K62">
        <v>6.84</v>
      </c>
      <c r="S62">
        <v>767.11305544932998</v>
      </c>
      <c r="T62">
        <v>1691.16634799235</v>
      </c>
      <c r="U62">
        <v>1691.16634799235</v>
      </c>
      <c r="V62">
        <v>1691.16634799235</v>
      </c>
      <c r="W62">
        <v>1691.16634799235</v>
      </c>
      <c r="AF62">
        <v>300</v>
      </c>
      <c r="AG62">
        <v>0.738125262715425</v>
      </c>
      <c r="AI62">
        <v>0.32</v>
      </c>
      <c r="AJ62">
        <v>0.4</v>
      </c>
      <c r="AK62">
        <v>1.01</v>
      </c>
      <c r="AL62">
        <v>284.71535246519602</v>
      </c>
      <c r="AM62">
        <v>381.02295087576903</v>
      </c>
      <c r="AN62">
        <v>1.9645999999999999</v>
      </c>
      <c r="AP62">
        <v>0.52439999999999998</v>
      </c>
      <c r="AT62">
        <v>0.52439999999999998</v>
      </c>
      <c r="BD62">
        <v>1.6681999999999999</v>
      </c>
      <c r="BF62">
        <v>0.63460000000000005</v>
      </c>
      <c r="BH62">
        <v>1.2274</v>
      </c>
      <c r="BJ62">
        <v>1.5656000000000001</v>
      </c>
      <c r="BL62">
        <v>1.33</v>
      </c>
      <c r="BN62">
        <v>1.4059999999999999</v>
      </c>
      <c r="BP62">
        <v>1.4097999999999999</v>
      </c>
      <c r="BR62">
        <v>3.9026000000000001</v>
      </c>
      <c r="BT62">
        <v>1.4326000000000001</v>
      </c>
      <c r="BV62">
        <v>5.1414</v>
      </c>
      <c r="BX62">
        <v>2.8956</v>
      </c>
      <c r="BZ62">
        <v>2.8157999999999999</v>
      </c>
      <c r="CB62">
        <v>2.8652000000000002</v>
      </c>
    </row>
    <row r="63" spans="1:84" x14ac:dyDescent="0.3">
      <c r="A63">
        <v>24000</v>
      </c>
      <c r="B63" t="s">
        <v>289</v>
      </c>
      <c r="C63">
        <v>11.9</v>
      </c>
      <c r="D63">
        <v>88.1</v>
      </c>
      <c r="E63">
        <v>14.9</v>
      </c>
      <c r="F63">
        <v>11.473000000000001</v>
      </c>
      <c r="G63">
        <v>3.5</v>
      </c>
      <c r="H63">
        <v>4.2682926829268304</v>
      </c>
      <c r="I63">
        <v>2.1</v>
      </c>
      <c r="J63">
        <v>8</v>
      </c>
      <c r="K63">
        <v>6.84</v>
      </c>
      <c r="L63">
        <v>35</v>
      </c>
      <c r="M63">
        <v>11.8</v>
      </c>
      <c r="N63">
        <v>4.5999999999999996</v>
      </c>
      <c r="O63">
        <v>57.1</v>
      </c>
      <c r="P63">
        <v>4.7</v>
      </c>
      <c r="Q63">
        <v>23</v>
      </c>
      <c r="R63">
        <v>27.7</v>
      </c>
      <c r="S63">
        <v>918.83271510516204</v>
      </c>
      <c r="T63">
        <v>2025.6453154875701</v>
      </c>
      <c r="U63">
        <v>2025.6453154875701</v>
      </c>
      <c r="V63">
        <v>2025.6453154875701</v>
      </c>
      <c r="W63">
        <v>2025.6453154875701</v>
      </c>
      <c r="X63">
        <v>0.115</v>
      </c>
      <c r="Y63">
        <v>0.115</v>
      </c>
      <c r="Z63">
        <v>1.0349999999999999</v>
      </c>
      <c r="AA63">
        <v>1.0349999999999999</v>
      </c>
      <c r="AB63">
        <v>0.34499999999999997</v>
      </c>
      <c r="AC63">
        <v>0.34496549999999998</v>
      </c>
      <c r="AD63">
        <v>0.37373849999999997</v>
      </c>
      <c r="AE63">
        <v>0.6900345</v>
      </c>
      <c r="AF63">
        <v>150</v>
      </c>
      <c r="AG63">
        <v>7.4821353509877994E-2</v>
      </c>
      <c r="AI63">
        <v>0.02</v>
      </c>
      <c r="AJ63">
        <v>0.06</v>
      </c>
      <c r="AK63">
        <v>0.42</v>
      </c>
      <c r="AL63">
        <v>99.189358971828796</v>
      </c>
      <c r="AM63">
        <v>-25.363770364480999</v>
      </c>
      <c r="AN63">
        <v>0.53710000000000002</v>
      </c>
      <c r="AO63">
        <v>0.44860919999999999</v>
      </c>
      <c r="AP63">
        <v>0.22670000000000001</v>
      </c>
      <c r="AQ63">
        <v>0.1834488</v>
      </c>
      <c r="AR63">
        <v>0.3155</v>
      </c>
      <c r="AS63">
        <v>0.22761239999999999</v>
      </c>
      <c r="AT63">
        <v>0.54220000000000002</v>
      </c>
      <c r="AU63">
        <v>0.41106120000000002</v>
      </c>
      <c r="AV63">
        <v>0.45479999999999998</v>
      </c>
      <c r="AW63">
        <v>0.33827469999999998</v>
      </c>
      <c r="AX63">
        <v>0.21456</v>
      </c>
      <c r="AY63">
        <v>0.1695024</v>
      </c>
      <c r="AZ63">
        <v>0.47910000000000003</v>
      </c>
      <c r="BA63">
        <v>0.3801735</v>
      </c>
      <c r="BB63">
        <v>0.92679999999999996</v>
      </c>
      <c r="BC63">
        <v>0.71920810000000002</v>
      </c>
      <c r="BD63">
        <v>0.65839999999999999</v>
      </c>
      <c r="BE63">
        <v>0.51513770000000003</v>
      </c>
      <c r="BF63">
        <v>0.37019999999999997</v>
      </c>
      <c r="BG63">
        <v>0.29427500000000001</v>
      </c>
      <c r="BH63">
        <v>0.91010000000000002</v>
      </c>
      <c r="BI63">
        <v>0.74264580000000002</v>
      </c>
      <c r="BJ63">
        <v>0.61460000000000004</v>
      </c>
      <c r="BK63">
        <v>0.47201710000000002</v>
      </c>
      <c r="BL63">
        <v>0.52149999999999996</v>
      </c>
      <c r="BN63">
        <v>0.63949999999999996</v>
      </c>
      <c r="BO63">
        <v>0.53568479999999996</v>
      </c>
      <c r="BP63">
        <v>0.70720000000000005</v>
      </c>
      <c r="BQ63">
        <v>0.50779200000000002</v>
      </c>
      <c r="BR63">
        <v>3.0142699999999998</v>
      </c>
      <c r="BS63">
        <v>2.6827003</v>
      </c>
      <c r="BT63">
        <v>1.0117100000000001</v>
      </c>
      <c r="BU63">
        <v>0.88018770000000002</v>
      </c>
      <c r="BV63">
        <v>0.9476</v>
      </c>
      <c r="BW63">
        <v>0.73492760000000001</v>
      </c>
      <c r="BX63">
        <v>1.1189899999999999</v>
      </c>
      <c r="BY63">
        <v>0.47201710000000002</v>
      </c>
      <c r="BZ63">
        <v>1.3529199999999999</v>
      </c>
      <c r="CA63">
        <v>1.0434768000000001</v>
      </c>
      <c r="CB63">
        <v>0.66454000000000002</v>
      </c>
      <c r="CC63">
        <v>0.49840499999999999</v>
      </c>
      <c r="CD63">
        <v>2.4329268292682902</v>
      </c>
      <c r="CE63">
        <v>1102</v>
      </c>
      <c r="CF63">
        <v>1102</v>
      </c>
    </row>
    <row r="64" spans="1:84" x14ac:dyDescent="0.3">
      <c r="A64">
        <v>24005</v>
      </c>
      <c r="B64" t="s">
        <v>290</v>
      </c>
      <c r="C64">
        <v>10</v>
      </c>
      <c r="D64">
        <v>90</v>
      </c>
      <c r="E64">
        <v>13.8</v>
      </c>
      <c r="F64">
        <v>11.316000000000001</v>
      </c>
      <c r="G64">
        <v>2</v>
      </c>
      <c r="H64">
        <v>3.0303030303030298</v>
      </c>
      <c r="I64">
        <v>1.74</v>
      </c>
      <c r="J64">
        <v>2.9</v>
      </c>
      <c r="K64">
        <v>6.84</v>
      </c>
      <c r="L64">
        <v>11.9</v>
      </c>
      <c r="M64">
        <v>3.9</v>
      </c>
      <c r="N64">
        <v>1.6</v>
      </c>
      <c r="O64">
        <v>69.7</v>
      </c>
      <c r="P64">
        <v>2.5</v>
      </c>
      <c r="Q64">
        <v>56</v>
      </c>
      <c r="R64">
        <v>58.5</v>
      </c>
      <c r="S64">
        <v>1390.58321988528</v>
      </c>
      <c r="T64">
        <v>3065.6596558317401</v>
      </c>
      <c r="U64">
        <v>3065.6596558317401</v>
      </c>
      <c r="V64">
        <v>3065.6596558317401</v>
      </c>
      <c r="W64">
        <v>3065.6596558317401</v>
      </c>
      <c r="X64">
        <v>0.04</v>
      </c>
      <c r="Y64">
        <v>0.04</v>
      </c>
      <c r="Z64">
        <v>0.36</v>
      </c>
      <c r="AA64">
        <v>0.36</v>
      </c>
      <c r="AB64">
        <v>0.12</v>
      </c>
      <c r="AC64">
        <v>0.119988</v>
      </c>
      <c r="AD64">
        <v>0.129996</v>
      </c>
      <c r="AE64">
        <v>0.240012</v>
      </c>
      <c r="AF64">
        <v>60</v>
      </c>
      <c r="AG64">
        <v>7.4821353509877994E-2</v>
      </c>
      <c r="AI64">
        <v>0.02</v>
      </c>
      <c r="AJ64">
        <v>0.06</v>
      </c>
      <c r="AK64">
        <v>0.42</v>
      </c>
      <c r="AL64">
        <v>99.189358971828796</v>
      </c>
      <c r="AM64">
        <v>73.548906311804004</v>
      </c>
      <c r="AN64">
        <v>0.33534000000000003</v>
      </c>
      <c r="AO64">
        <v>0.28839239999999999</v>
      </c>
      <c r="AP64">
        <v>0.2152</v>
      </c>
      <c r="AQ64">
        <v>0.19464899999999999</v>
      </c>
      <c r="AR64">
        <v>0.29459999999999997</v>
      </c>
      <c r="AS64">
        <v>0.26874120000000001</v>
      </c>
      <c r="AT64">
        <v>0.50980000000000003</v>
      </c>
      <c r="AU64">
        <v>0.46339019999999997</v>
      </c>
      <c r="AV64">
        <v>0.38719999999999999</v>
      </c>
      <c r="AW64">
        <v>0.32667360000000001</v>
      </c>
      <c r="AX64">
        <v>0.16259999999999999</v>
      </c>
      <c r="AY64">
        <v>0.13410839999999999</v>
      </c>
      <c r="AZ64">
        <v>0.47239999999999999</v>
      </c>
      <c r="BA64">
        <v>0.4397508</v>
      </c>
      <c r="BB64">
        <v>0.89839999999999998</v>
      </c>
      <c r="BC64">
        <v>0.82003740000000003</v>
      </c>
      <c r="BD64">
        <v>0.5776</v>
      </c>
      <c r="BE64">
        <v>0.51864540000000003</v>
      </c>
      <c r="BF64">
        <v>0.29920000000000002</v>
      </c>
      <c r="BG64">
        <v>0.26702999999999999</v>
      </c>
      <c r="BH64">
        <v>0.62219999999999998</v>
      </c>
      <c r="BI64">
        <v>0.52219199999999999</v>
      </c>
      <c r="BJ64">
        <v>0.62060000000000004</v>
      </c>
      <c r="BK64">
        <v>0.57264479999999995</v>
      </c>
      <c r="BL64">
        <v>0.37812000000000001</v>
      </c>
      <c r="BN64">
        <v>0.62180000000000002</v>
      </c>
      <c r="BO64">
        <v>0.57367979999999996</v>
      </c>
      <c r="BP64">
        <v>0.52739999999999998</v>
      </c>
      <c r="BQ64">
        <v>0.44742359999999998</v>
      </c>
      <c r="BR64">
        <v>4.1165399999999996</v>
      </c>
      <c r="BS64">
        <v>3.9930438000000001</v>
      </c>
      <c r="BT64">
        <v>1.4034599999999999</v>
      </c>
      <c r="BU64">
        <v>1.4034599999999999</v>
      </c>
      <c r="BV64">
        <v>0.65080000000000005</v>
      </c>
      <c r="BW64">
        <v>0.52395840000000005</v>
      </c>
      <c r="BX64">
        <v>1.0074000000000001</v>
      </c>
      <c r="BY64">
        <v>0.57264479999999995</v>
      </c>
      <c r="BZ64">
        <v>1.1371199999999999</v>
      </c>
      <c r="CA64">
        <v>1.0211034000000001</v>
      </c>
      <c r="CB64">
        <v>0.44850000000000001</v>
      </c>
      <c r="CC64">
        <v>0.372255</v>
      </c>
      <c r="CD64">
        <v>1.72727272727273</v>
      </c>
      <c r="CE64">
        <v>778</v>
      </c>
      <c r="CF64">
        <v>778</v>
      </c>
    </row>
    <row r="65" spans="1:84" x14ac:dyDescent="0.3">
      <c r="A65">
        <v>24010</v>
      </c>
      <c r="B65" t="s">
        <v>291</v>
      </c>
      <c r="C65">
        <v>13</v>
      </c>
      <c r="D65">
        <v>87</v>
      </c>
      <c r="E65">
        <v>15.8</v>
      </c>
      <c r="F65">
        <v>11.534000000000001</v>
      </c>
      <c r="G65">
        <v>2.6</v>
      </c>
      <c r="H65">
        <v>3.3333333333333299</v>
      </c>
      <c r="I65">
        <v>1.69</v>
      </c>
      <c r="J65">
        <v>9.4</v>
      </c>
      <c r="K65">
        <v>6.84</v>
      </c>
      <c r="L65">
        <v>36.4</v>
      </c>
      <c r="M65">
        <v>12.25</v>
      </c>
      <c r="N65">
        <v>4.8</v>
      </c>
      <c r="O65">
        <v>54.4</v>
      </c>
      <c r="P65">
        <v>3.8</v>
      </c>
      <c r="Q65">
        <v>18.8</v>
      </c>
      <c r="R65">
        <v>22.6</v>
      </c>
      <c r="S65">
        <v>790.15298661567897</v>
      </c>
      <c r="T65">
        <v>1741.9598470363301</v>
      </c>
      <c r="U65">
        <v>1741.9598470363301</v>
      </c>
      <c r="V65">
        <v>1741.9598470363301</v>
      </c>
      <c r="W65">
        <v>1741.9598470363301</v>
      </c>
      <c r="X65">
        <v>0.16944000000000001</v>
      </c>
      <c r="Y65">
        <v>0.16944000000000001</v>
      </c>
      <c r="Z65">
        <v>1.0871999999999999</v>
      </c>
      <c r="AA65">
        <v>1.0871999999999999</v>
      </c>
      <c r="AB65">
        <v>0.3624</v>
      </c>
      <c r="AC65">
        <v>0.26832096</v>
      </c>
      <c r="AD65">
        <v>0.32474663999999998</v>
      </c>
      <c r="AE65">
        <v>0.81887904</v>
      </c>
      <c r="AF65">
        <v>150</v>
      </c>
      <c r="AG65">
        <v>0.10865910046238</v>
      </c>
      <c r="AI65">
        <v>0.04</v>
      </c>
      <c r="AJ65">
        <v>7.0000000000000007E-2</v>
      </c>
      <c r="AK65">
        <v>1.26</v>
      </c>
      <c r="AL65">
        <v>319.89447590596302</v>
      </c>
      <c r="AM65">
        <v>527.81098598803896</v>
      </c>
      <c r="AN65">
        <v>0.62660000000000005</v>
      </c>
      <c r="AO65">
        <v>0.49179079999999997</v>
      </c>
      <c r="AP65">
        <v>0.22620000000000001</v>
      </c>
      <c r="AQ65">
        <v>0.19015299999999999</v>
      </c>
      <c r="AR65">
        <v>0.27012000000000003</v>
      </c>
      <c r="AS65">
        <v>0.24453659999999999</v>
      </c>
      <c r="AT65">
        <v>0.49631999999999998</v>
      </c>
      <c r="AU65">
        <v>0.43468960000000001</v>
      </c>
      <c r="AV65">
        <v>0.49819999999999998</v>
      </c>
      <c r="AW65">
        <v>0.37585039999999997</v>
      </c>
      <c r="AX65">
        <v>0.2402</v>
      </c>
      <c r="AY65">
        <v>0.20340920000000001</v>
      </c>
      <c r="AZ65">
        <v>0.504</v>
      </c>
      <c r="BA65">
        <v>0.39774920000000002</v>
      </c>
      <c r="BB65">
        <v>0.93440000000000001</v>
      </c>
      <c r="BC65">
        <v>0.74267899999999998</v>
      </c>
      <c r="BD65">
        <v>0.71319999999999995</v>
      </c>
      <c r="BE65">
        <v>0.56044179999999999</v>
      </c>
      <c r="BF65">
        <v>0.41539999999999999</v>
      </c>
      <c r="BG65">
        <v>0.31919160000000002</v>
      </c>
      <c r="BH65">
        <v>1.0649999999999999</v>
      </c>
      <c r="BI65">
        <v>0.87732659999999996</v>
      </c>
      <c r="BJ65">
        <v>0.61299999999999999</v>
      </c>
      <c r="BK65">
        <v>0.44751920000000001</v>
      </c>
      <c r="BL65">
        <v>0.43292000000000003</v>
      </c>
      <c r="BN65">
        <v>0.64780000000000004</v>
      </c>
      <c r="BO65">
        <v>0.57458279999999995</v>
      </c>
      <c r="BP65">
        <v>0.81420000000000003</v>
      </c>
      <c r="BQ65">
        <v>0.58708059999999995</v>
      </c>
      <c r="BR65">
        <v>2.8889999999999998</v>
      </c>
      <c r="BS65">
        <v>2.4778349999999998</v>
      </c>
      <c r="BT65">
        <v>0.96579999999999999</v>
      </c>
      <c r="BV65">
        <v>1.0952</v>
      </c>
      <c r="BW65">
        <v>0.844194</v>
      </c>
      <c r="BX65">
        <v>1.04596</v>
      </c>
      <c r="BY65">
        <v>0.44751920000000001</v>
      </c>
      <c r="BZ65">
        <v>1.4646600000000001</v>
      </c>
      <c r="CA65">
        <v>1.1616633999999999</v>
      </c>
      <c r="CB65">
        <v>0.72363999999999995</v>
      </c>
      <c r="CC65">
        <v>0.54996639999999997</v>
      </c>
      <c r="CD65">
        <v>1.9</v>
      </c>
      <c r="CE65">
        <v>1232</v>
      </c>
      <c r="CF65">
        <v>1232</v>
      </c>
    </row>
    <row r="66" spans="1:84" x14ac:dyDescent="0.3">
      <c r="A66">
        <v>24015</v>
      </c>
      <c r="B66" t="s">
        <v>292</v>
      </c>
      <c r="C66">
        <v>12.6</v>
      </c>
      <c r="D66">
        <v>87.4</v>
      </c>
      <c r="E66">
        <v>14.9</v>
      </c>
      <c r="F66">
        <v>11.622</v>
      </c>
      <c r="G66">
        <v>3.6</v>
      </c>
      <c r="H66">
        <v>4.3902439024390203</v>
      </c>
      <c r="I66">
        <v>2.34</v>
      </c>
      <c r="J66">
        <v>7.55</v>
      </c>
      <c r="K66">
        <v>6.84</v>
      </c>
      <c r="L66">
        <v>35</v>
      </c>
      <c r="M66">
        <v>11.8</v>
      </c>
      <c r="N66">
        <v>4.5999999999999996</v>
      </c>
      <c r="O66">
        <v>56.75</v>
      </c>
      <c r="P66">
        <v>4.7</v>
      </c>
      <c r="Q66">
        <v>23</v>
      </c>
      <c r="R66">
        <v>27.7</v>
      </c>
      <c r="S66">
        <v>939.85833269598402</v>
      </c>
      <c r="T66">
        <v>2071.9980879541099</v>
      </c>
      <c r="U66">
        <v>2071.9980879541099</v>
      </c>
      <c r="V66">
        <v>2071.9980879541099</v>
      </c>
      <c r="W66">
        <v>2071.9980879541099</v>
      </c>
      <c r="X66">
        <v>0.13017999999999999</v>
      </c>
      <c r="Y66">
        <v>0.13017999999999999</v>
      </c>
      <c r="Z66">
        <v>0.94989999999999997</v>
      </c>
      <c r="AA66">
        <v>0.94989999999999997</v>
      </c>
      <c r="AB66">
        <v>0.31663333333333299</v>
      </c>
      <c r="AC66">
        <v>0.21002288999999999</v>
      </c>
      <c r="AD66">
        <v>0.29000447000000001</v>
      </c>
      <c r="AE66">
        <v>0.73987711</v>
      </c>
      <c r="AF66">
        <v>150</v>
      </c>
      <c r="AG66" s="9">
        <v>9.6889449348465495E-2</v>
      </c>
      <c r="AI66">
        <v>0.05</v>
      </c>
      <c r="AJ66">
        <v>0.04</v>
      </c>
      <c r="AK66">
        <v>1.06</v>
      </c>
      <c r="AL66">
        <v>281.56043055454001</v>
      </c>
      <c r="AM66">
        <v>295.18926638136998</v>
      </c>
      <c r="AN66">
        <v>0.59330000000000005</v>
      </c>
      <c r="AO66">
        <v>0.46377740000000001</v>
      </c>
      <c r="AP66">
        <v>0.21360000000000001</v>
      </c>
      <c r="AQ66">
        <v>0.17932149999999999</v>
      </c>
      <c r="AR66">
        <v>0.25535999999999998</v>
      </c>
      <c r="AS66">
        <v>0.23060729999999999</v>
      </c>
      <c r="AT66">
        <v>0.46895999999999999</v>
      </c>
      <c r="AU66">
        <v>0.40992879999999998</v>
      </c>
      <c r="AV66">
        <v>0.47210000000000002</v>
      </c>
      <c r="AW66">
        <v>0.35444120000000001</v>
      </c>
      <c r="AX66">
        <v>0.2276</v>
      </c>
      <c r="AY66">
        <v>0.19182260000000001</v>
      </c>
      <c r="AZ66">
        <v>0.47699999999999998</v>
      </c>
      <c r="BA66">
        <v>0.3750926</v>
      </c>
      <c r="BB66">
        <v>0.88219999999999998</v>
      </c>
      <c r="BC66">
        <v>0.70037450000000001</v>
      </c>
      <c r="BD66">
        <v>0.67359999999999998</v>
      </c>
      <c r="BE66">
        <v>0.52851789999999998</v>
      </c>
      <c r="BF66">
        <v>0.39019999999999999</v>
      </c>
      <c r="BG66">
        <v>0.30100979999999999</v>
      </c>
      <c r="BH66">
        <v>0.99750000000000005</v>
      </c>
      <c r="BI66">
        <v>0.82735230000000004</v>
      </c>
      <c r="BJ66">
        <v>0.57699999999999996</v>
      </c>
      <c r="BK66">
        <v>0.4220276</v>
      </c>
      <c r="BL66">
        <v>0.40826000000000001</v>
      </c>
      <c r="BN66">
        <v>0.6109</v>
      </c>
      <c r="BO66">
        <v>0.54185340000000004</v>
      </c>
      <c r="BP66">
        <v>0.77010000000000001</v>
      </c>
      <c r="BQ66">
        <v>0.55363929999999995</v>
      </c>
      <c r="BR66">
        <v>2.6909999999999998</v>
      </c>
      <c r="BS66">
        <v>2.3366924999999998</v>
      </c>
      <c r="BT66">
        <v>0.90190000000000003</v>
      </c>
      <c r="BV66">
        <v>1.0330999999999999</v>
      </c>
      <c r="BW66">
        <v>0.79610700000000001</v>
      </c>
      <c r="BX66">
        <v>0.98638000000000003</v>
      </c>
      <c r="BY66">
        <v>0.4220276</v>
      </c>
      <c r="BZ66">
        <v>1.38123</v>
      </c>
      <c r="CA66">
        <v>1.0954927000000001</v>
      </c>
      <c r="CB66">
        <v>0.68242000000000003</v>
      </c>
      <c r="CC66">
        <v>0.51863919999999997</v>
      </c>
      <c r="CD66">
        <v>2.5024390243902399</v>
      </c>
      <c r="CE66">
        <v>1232</v>
      </c>
      <c r="CF66">
        <v>1232</v>
      </c>
    </row>
    <row r="67" spans="1:84" x14ac:dyDescent="0.3">
      <c r="A67">
        <v>24020</v>
      </c>
      <c r="B67" t="s">
        <v>293</v>
      </c>
      <c r="C67">
        <v>11</v>
      </c>
      <c r="D67">
        <v>89</v>
      </c>
      <c r="E67">
        <v>9</v>
      </c>
      <c r="F67">
        <v>7.2</v>
      </c>
      <c r="G67">
        <v>9.3000000000000007</v>
      </c>
      <c r="H67">
        <v>10.9411764705882</v>
      </c>
      <c r="I67">
        <v>8.9280000000000008</v>
      </c>
      <c r="J67">
        <v>2.6</v>
      </c>
      <c r="K67">
        <v>6.84</v>
      </c>
      <c r="L67">
        <v>8</v>
      </c>
      <c r="M67">
        <v>4.0999999999999996</v>
      </c>
      <c r="N67">
        <v>5.0999999999999996</v>
      </c>
      <c r="O67">
        <v>63</v>
      </c>
      <c r="P67">
        <v>10</v>
      </c>
      <c r="Q67">
        <v>45.5</v>
      </c>
      <c r="R67">
        <v>55.5</v>
      </c>
      <c r="S67">
        <v>1538.2308871892899</v>
      </c>
      <c r="T67">
        <v>3391.1615678776302</v>
      </c>
      <c r="U67">
        <v>3391.1615678776302</v>
      </c>
      <c r="V67">
        <v>3391.1615678776302</v>
      </c>
      <c r="W67">
        <v>3391.1615678776302</v>
      </c>
      <c r="X67">
        <v>0.2601</v>
      </c>
      <c r="Y67">
        <v>0.2601</v>
      </c>
      <c r="Z67">
        <v>0.19023000000000001</v>
      </c>
      <c r="AA67">
        <v>0.19023000000000001</v>
      </c>
      <c r="AB67">
        <v>6.3409999999999994E-2</v>
      </c>
      <c r="AC67">
        <v>6.0074634000000002E-2</v>
      </c>
      <c r="AD67">
        <v>8.0105853000000005E-2</v>
      </c>
      <c r="AE67">
        <v>0.13015536599999999</v>
      </c>
      <c r="AF67">
        <v>140</v>
      </c>
      <c r="AG67">
        <v>2.6746532156368201</v>
      </c>
      <c r="AI67">
        <v>1.1399999999999999</v>
      </c>
      <c r="AJ67">
        <v>1.48</v>
      </c>
      <c r="AK67">
        <v>0.39</v>
      </c>
      <c r="AL67">
        <v>178.33327297091699</v>
      </c>
      <c r="AM67">
        <v>431.12684503848101</v>
      </c>
      <c r="AN67">
        <v>0.249</v>
      </c>
      <c r="AO67">
        <v>0.124434</v>
      </c>
      <c r="AP67">
        <v>0.13300000000000001</v>
      </c>
      <c r="AQ67">
        <v>0.11113199999999999</v>
      </c>
      <c r="AR67">
        <v>0.18</v>
      </c>
      <c r="AS67">
        <v>0.145314</v>
      </c>
      <c r="AT67">
        <v>0.313</v>
      </c>
      <c r="AU67">
        <v>0.25644600000000001</v>
      </c>
      <c r="AV67">
        <v>0.27100000000000002</v>
      </c>
      <c r="AW67">
        <v>0.181476</v>
      </c>
      <c r="AX67">
        <v>9.7000000000000003E-2</v>
      </c>
      <c r="AY67">
        <v>7.9380000000000006E-2</v>
      </c>
      <c r="AZ67">
        <v>0.311</v>
      </c>
      <c r="BA67">
        <v>0.26219700000000001</v>
      </c>
      <c r="BB67">
        <v>0.622</v>
      </c>
      <c r="BC67">
        <v>0.52632000000000001</v>
      </c>
      <c r="BD67">
        <v>0.39400000000000002</v>
      </c>
      <c r="BE67">
        <v>0.296487</v>
      </c>
      <c r="BF67">
        <v>0.19600000000000001</v>
      </c>
      <c r="BG67">
        <v>0.14976</v>
      </c>
      <c r="BH67">
        <v>0.43099999999999999</v>
      </c>
      <c r="BI67">
        <v>0.30402899999999999</v>
      </c>
      <c r="BJ67">
        <v>0.41199999999999998</v>
      </c>
      <c r="BK67">
        <v>0.35350199999999998</v>
      </c>
      <c r="BL67">
        <v>0.315</v>
      </c>
      <c r="BN67">
        <v>0.40400000000000003</v>
      </c>
      <c r="BP67">
        <v>0.36299999999999999</v>
      </c>
      <c r="BR67">
        <v>2.234</v>
      </c>
      <c r="BT67">
        <v>0.77800000000000002</v>
      </c>
      <c r="BV67">
        <v>0.53400000000000003</v>
      </c>
      <c r="BX67">
        <v>0.74609999999999999</v>
      </c>
      <c r="BY67">
        <v>0.35350199999999998</v>
      </c>
      <c r="BZ67">
        <v>0.72629999999999995</v>
      </c>
      <c r="CB67">
        <v>0.315</v>
      </c>
      <c r="CD67">
        <v>2.1882352941176402</v>
      </c>
      <c r="CE67">
        <v>923</v>
      </c>
      <c r="CF67">
        <v>923</v>
      </c>
    </row>
    <row r="68" spans="1:84" x14ac:dyDescent="0.3">
      <c r="A68">
        <v>24050</v>
      </c>
      <c r="B68" t="s">
        <v>294</v>
      </c>
      <c r="C68">
        <v>10.02</v>
      </c>
      <c r="D68">
        <v>89.98</v>
      </c>
      <c r="E68">
        <v>13.25</v>
      </c>
      <c r="F68">
        <v>8.7449999999999992</v>
      </c>
      <c r="G68">
        <v>17.25</v>
      </c>
      <c r="H68">
        <v>20.783132530120501</v>
      </c>
      <c r="I68">
        <v>10.695</v>
      </c>
      <c r="J68">
        <v>7.75</v>
      </c>
      <c r="K68">
        <v>6.84</v>
      </c>
      <c r="L68">
        <v>18.95</v>
      </c>
      <c r="M68">
        <v>8.43</v>
      </c>
      <c r="N68">
        <v>10.3</v>
      </c>
      <c r="O68">
        <v>41.43</v>
      </c>
      <c r="P68">
        <v>1.8</v>
      </c>
      <c r="Q68">
        <v>28.4</v>
      </c>
      <c r="R68">
        <v>30.2</v>
      </c>
      <c r="S68">
        <v>1317.8762569789701</v>
      </c>
      <c r="T68">
        <v>2905.37093690249</v>
      </c>
      <c r="U68">
        <v>2905.37093690249</v>
      </c>
      <c r="V68">
        <v>2905.37093690249</v>
      </c>
      <c r="W68">
        <v>2905.37093690249</v>
      </c>
      <c r="X68">
        <v>0.19570000000000001</v>
      </c>
      <c r="Y68">
        <v>0.19570000000000001</v>
      </c>
      <c r="Z68">
        <v>1.57178</v>
      </c>
      <c r="AA68">
        <v>1.57178</v>
      </c>
      <c r="AB68">
        <v>0.52392666666666698</v>
      </c>
      <c r="AC68">
        <v>0.37298339400000002</v>
      </c>
      <c r="AD68">
        <v>0.27521867799999999</v>
      </c>
      <c r="AE68">
        <v>1.1987966059999999</v>
      </c>
      <c r="AF68">
        <v>165</v>
      </c>
      <c r="AG68" s="9">
        <v>9.5838587641866493E-2</v>
      </c>
      <c r="AI68">
        <v>0.03</v>
      </c>
      <c r="AJ68">
        <v>7.0000000000000007E-2</v>
      </c>
      <c r="AK68">
        <v>1.56</v>
      </c>
      <c r="AL68">
        <v>392.265284100852</v>
      </c>
      <c r="AM68">
        <v>892.58197929922005</v>
      </c>
      <c r="AN68">
        <v>0.59575</v>
      </c>
      <c r="AO68">
        <v>0.43142000000000003</v>
      </c>
      <c r="AP68">
        <v>0.25674999999999998</v>
      </c>
      <c r="AQ68">
        <v>0.22736999999999999</v>
      </c>
      <c r="AR68">
        <v>0.27725</v>
      </c>
      <c r="AS68">
        <v>0.19239000000000001</v>
      </c>
      <c r="AT68">
        <v>0.53400000000000003</v>
      </c>
      <c r="AU68">
        <v>0.41976000000000002</v>
      </c>
      <c r="AV68">
        <v>0.48625000000000002</v>
      </c>
      <c r="AW68">
        <v>0.33827249999999998</v>
      </c>
      <c r="AX68">
        <v>0.16725000000000001</v>
      </c>
      <c r="AY68">
        <v>0.120575</v>
      </c>
      <c r="AZ68">
        <v>0.46400000000000002</v>
      </c>
      <c r="BA68">
        <v>0.35775000000000001</v>
      </c>
      <c r="BB68">
        <v>0.92049999999999998</v>
      </c>
      <c r="BC68">
        <v>0.70556249999999998</v>
      </c>
      <c r="BD68">
        <v>0.69950000000000001</v>
      </c>
      <c r="BE68">
        <v>0.53371000000000002</v>
      </c>
      <c r="BF68">
        <v>0.34599999999999997</v>
      </c>
      <c r="BG68">
        <v>0.26831250000000001</v>
      </c>
      <c r="BH68">
        <v>1.01925</v>
      </c>
      <c r="BI68">
        <v>0.82679999999999998</v>
      </c>
      <c r="BJ68">
        <v>0.62549999999999994</v>
      </c>
      <c r="BK68">
        <v>0.396175</v>
      </c>
      <c r="BL68">
        <v>0.42797499999999999</v>
      </c>
      <c r="BM68">
        <v>0.27818375000000001</v>
      </c>
      <c r="BN68">
        <v>0.58599999999999997</v>
      </c>
      <c r="BO68">
        <v>0.43884000000000001</v>
      </c>
      <c r="BP68">
        <v>0.69125000000000003</v>
      </c>
      <c r="BQ68">
        <v>0.46745999999999999</v>
      </c>
      <c r="BR68">
        <v>1.79525</v>
      </c>
      <c r="BS68">
        <v>1.4011875</v>
      </c>
      <c r="BT68">
        <v>0.57925000000000004</v>
      </c>
      <c r="BU68">
        <v>0.42333749999999998</v>
      </c>
      <c r="BV68">
        <v>1.16425</v>
      </c>
      <c r="BW68">
        <v>0.81845250000000003</v>
      </c>
      <c r="BX68">
        <v>1.0374749999999999</v>
      </c>
      <c r="BY68">
        <v>0.67435875000000001</v>
      </c>
      <c r="BZ68">
        <v>1.25875</v>
      </c>
      <c r="CA68">
        <v>0.90629999999999999</v>
      </c>
      <c r="CB68">
        <v>0.78174999999999994</v>
      </c>
      <c r="CC68">
        <v>0.57849499999999998</v>
      </c>
      <c r="CD68">
        <v>7.6066265060241003</v>
      </c>
      <c r="CE68">
        <v>1135</v>
      </c>
      <c r="CF68">
        <v>1135</v>
      </c>
    </row>
    <row r="69" spans="1:84" x14ac:dyDescent="0.3">
      <c r="A69">
        <v>24052</v>
      </c>
      <c r="B69" t="s">
        <v>295</v>
      </c>
      <c r="C69">
        <v>9.9</v>
      </c>
      <c r="D69">
        <v>90.1</v>
      </c>
      <c r="E69">
        <v>14.8</v>
      </c>
      <c r="F69">
        <v>10.212</v>
      </c>
      <c r="G69">
        <v>3.2</v>
      </c>
      <c r="H69">
        <v>4.9230769230769198</v>
      </c>
      <c r="I69">
        <v>1.984</v>
      </c>
      <c r="J69">
        <v>9.6999999999999993</v>
      </c>
      <c r="K69">
        <v>6.84</v>
      </c>
      <c r="L69">
        <v>27.5</v>
      </c>
      <c r="M69">
        <v>15.1</v>
      </c>
      <c r="N69">
        <v>11.6</v>
      </c>
      <c r="O69">
        <v>50.8</v>
      </c>
      <c r="P69">
        <v>2.2999999999999998</v>
      </c>
      <c r="Q69">
        <v>29.5</v>
      </c>
      <c r="R69">
        <v>31.8</v>
      </c>
      <c r="S69">
        <v>897.76915296366894</v>
      </c>
      <c r="T69">
        <v>1979.20889101338</v>
      </c>
      <c r="U69">
        <v>1979.20889101338</v>
      </c>
      <c r="V69">
        <v>1979.20889101338</v>
      </c>
      <c r="W69">
        <v>1979.20889101338</v>
      </c>
      <c r="X69">
        <v>0.22040000000000001</v>
      </c>
      <c r="Y69">
        <v>0.22040000000000001</v>
      </c>
      <c r="Z69">
        <v>1.77016</v>
      </c>
      <c r="AA69">
        <v>1.77016</v>
      </c>
      <c r="AB69">
        <v>0.59005333333333299</v>
      </c>
      <c r="AC69">
        <v>0.42005896799999998</v>
      </c>
      <c r="AD69">
        <v>0.30995501600000003</v>
      </c>
      <c r="AE69">
        <v>1.350101032</v>
      </c>
      <c r="AF69">
        <v>165</v>
      </c>
      <c r="AG69">
        <v>0.115825977301387</v>
      </c>
      <c r="AI69">
        <v>3.5999999999999997E-2</v>
      </c>
      <c r="AJ69">
        <v>8.5000000000000006E-2</v>
      </c>
      <c r="AK69">
        <v>1.8</v>
      </c>
      <c r="AL69">
        <v>452.02287308416402</v>
      </c>
      <c r="AM69">
        <v>1076.6951179729499</v>
      </c>
      <c r="AN69">
        <v>0.66420000000000001</v>
      </c>
      <c r="AO69">
        <v>0.51628320000000005</v>
      </c>
      <c r="AP69">
        <v>0.29099999999999998</v>
      </c>
      <c r="AQ69">
        <v>0.20385519999999999</v>
      </c>
      <c r="AR69">
        <v>0.28799999999999998</v>
      </c>
      <c r="AS69">
        <v>0.17526159999999999</v>
      </c>
      <c r="AT69">
        <v>0.57899999999999996</v>
      </c>
      <c r="AU69">
        <v>0.37911679999999998</v>
      </c>
      <c r="AV69">
        <v>0.55779999999999996</v>
      </c>
      <c r="AW69">
        <v>0.37704480000000001</v>
      </c>
      <c r="AX69">
        <v>0.18959999999999999</v>
      </c>
      <c r="AY69">
        <v>0.13288920000000001</v>
      </c>
      <c r="AZ69">
        <v>0.51800000000000002</v>
      </c>
      <c r="BA69">
        <v>0.34871760000000002</v>
      </c>
      <c r="BB69">
        <v>1.0642</v>
      </c>
      <c r="BC69">
        <v>0.68571360000000003</v>
      </c>
      <c r="BD69">
        <v>0.81559999999999999</v>
      </c>
      <c r="BE69">
        <v>0.55251360000000005</v>
      </c>
      <c r="BF69">
        <v>0.37940000000000002</v>
      </c>
      <c r="BG69">
        <v>0.30665599999999998</v>
      </c>
      <c r="BH69">
        <v>1.1322000000000001</v>
      </c>
      <c r="BI69">
        <v>0.88773360000000001</v>
      </c>
      <c r="BJ69">
        <v>0.66700000000000004</v>
      </c>
      <c r="BK69">
        <v>0.43482399999999999</v>
      </c>
      <c r="BL69">
        <v>0.51800000000000002</v>
      </c>
      <c r="BN69">
        <v>0.67079999999999995</v>
      </c>
      <c r="BO69">
        <v>0.45288</v>
      </c>
      <c r="BP69">
        <v>0.79039999999999999</v>
      </c>
      <c r="BQ69">
        <v>0.52554800000000002</v>
      </c>
      <c r="BR69">
        <v>1.9712799999999999</v>
      </c>
      <c r="BS69">
        <v>1.543344</v>
      </c>
      <c r="BT69">
        <v>0.66759999999999997</v>
      </c>
      <c r="BU69">
        <v>0.47753679999999998</v>
      </c>
      <c r="BV69">
        <v>1.284</v>
      </c>
      <c r="BW69">
        <v>0.86765000000000003</v>
      </c>
      <c r="BX69">
        <v>1.18696</v>
      </c>
      <c r="BY69">
        <v>0.43482399999999999</v>
      </c>
      <c r="BZ69">
        <v>1.4503999999999999</v>
      </c>
      <c r="CA69">
        <v>0.97842799999999996</v>
      </c>
      <c r="CB69">
        <v>0.90871999999999997</v>
      </c>
      <c r="CC69">
        <v>0.65427840000000004</v>
      </c>
      <c r="CD69">
        <v>1.8018461538461501</v>
      </c>
      <c r="CE69">
        <v>485</v>
      </c>
      <c r="CF69">
        <v>485</v>
      </c>
    </row>
    <row r="70" spans="1:84" x14ac:dyDescent="0.3">
      <c r="A70">
        <v>24055</v>
      </c>
      <c r="B70" t="s">
        <v>296</v>
      </c>
      <c r="C70">
        <v>10</v>
      </c>
      <c r="D70">
        <v>90</v>
      </c>
      <c r="E70">
        <v>13.7</v>
      </c>
      <c r="F70">
        <v>9.0419999999999998</v>
      </c>
      <c r="G70">
        <v>23</v>
      </c>
      <c r="H70">
        <v>27.0588235294118</v>
      </c>
      <c r="I70">
        <v>14.26</v>
      </c>
      <c r="J70">
        <v>7.4</v>
      </c>
      <c r="K70">
        <v>6.84</v>
      </c>
      <c r="L70">
        <v>23.5</v>
      </c>
      <c r="M70">
        <v>8.9499999999999993</v>
      </c>
      <c r="N70">
        <v>8.9499999999999993</v>
      </c>
      <c r="O70">
        <v>36.950000000000003</v>
      </c>
      <c r="P70">
        <v>1.35</v>
      </c>
      <c r="Q70">
        <v>19.5</v>
      </c>
      <c r="R70">
        <v>20.85</v>
      </c>
      <c r="S70">
        <v>1457.7331491395801</v>
      </c>
      <c r="T70">
        <v>3213.6974187380501</v>
      </c>
      <c r="U70">
        <v>3213.6974187380501</v>
      </c>
      <c r="V70">
        <v>3213.6974187380501</v>
      </c>
      <c r="W70">
        <v>3213.6974187380501</v>
      </c>
      <c r="X70">
        <v>0.11814</v>
      </c>
      <c r="Y70">
        <v>0.11814</v>
      </c>
      <c r="Z70">
        <v>1.58952</v>
      </c>
      <c r="AA70">
        <v>1.58952</v>
      </c>
      <c r="AB70">
        <v>0.52983999999999998</v>
      </c>
      <c r="AC70">
        <v>0.17659567200000001</v>
      </c>
      <c r="AD70">
        <v>0.235407912</v>
      </c>
      <c r="AE70">
        <v>1.4129243279999999</v>
      </c>
      <c r="AF70">
        <v>165</v>
      </c>
      <c r="AG70">
        <v>0.44199243379571301</v>
      </c>
      <c r="AI70">
        <v>0.3</v>
      </c>
      <c r="AJ70">
        <v>7.0000000000000007E-2</v>
      </c>
      <c r="AK70">
        <v>1.8</v>
      </c>
      <c r="AL70">
        <v>571.13669131820802</v>
      </c>
      <c r="AM70">
        <v>1153.6630478940999</v>
      </c>
      <c r="AN70">
        <v>0.6169</v>
      </c>
      <c r="AO70">
        <v>0.46541640000000001</v>
      </c>
      <c r="AP70">
        <v>0.26529999999999998</v>
      </c>
      <c r="AQ70">
        <v>0.1935673</v>
      </c>
      <c r="AR70">
        <v>0.28670000000000001</v>
      </c>
      <c r="AS70">
        <v>0.1758258</v>
      </c>
      <c r="AT70">
        <v>0.55200000000000005</v>
      </c>
      <c r="AU70">
        <v>0.36939309999999997</v>
      </c>
      <c r="AV70">
        <v>0.50290000000000001</v>
      </c>
      <c r="AW70">
        <v>0.33274559999999997</v>
      </c>
      <c r="AX70">
        <v>0.1731</v>
      </c>
      <c r="AY70">
        <v>0.1250125</v>
      </c>
      <c r="AZ70">
        <v>0.48020000000000002</v>
      </c>
      <c r="BA70">
        <v>0.3128532</v>
      </c>
      <c r="BB70">
        <v>0.95199999999999996</v>
      </c>
      <c r="BC70">
        <v>0.62661060000000002</v>
      </c>
      <c r="BD70">
        <v>0.7238</v>
      </c>
      <c r="BE70">
        <v>0.4946796</v>
      </c>
      <c r="BF70">
        <v>0.35859999999999997</v>
      </c>
      <c r="BG70">
        <v>0.28495999999999999</v>
      </c>
      <c r="BH70">
        <v>1.0557000000000001</v>
      </c>
      <c r="BI70">
        <v>0.81427320000000003</v>
      </c>
      <c r="BJ70">
        <v>0.61419999999999997</v>
      </c>
      <c r="BK70">
        <v>0.39449149999999999</v>
      </c>
      <c r="BL70">
        <v>0.44251000000000001</v>
      </c>
      <c r="BN70">
        <v>0.60580000000000001</v>
      </c>
      <c r="BP70">
        <v>0.71509999999999996</v>
      </c>
      <c r="BR70">
        <v>1.8551</v>
      </c>
      <c r="BT70">
        <v>0.59770000000000001</v>
      </c>
      <c r="BV70">
        <v>1.2042999999999999</v>
      </c>
      <c r="BX70">
        <v>1.04942</v>
      </c>
      <c r="BY70">
        <v>0.39449149999999999</v>
      </c>
      <c r="BZ70">
        <v>1.3179399999999999</v>
      </c>
      <c r="CB70">
        <v>0.81925999999999999</v>
      </c>
      <c r="CE70">
        <v>1250</v>
      </c>
      <c r="CF70">
        <v>1250</v>
      </c>
    </row>
    <row r="71" spans="1:84" x14ac:dyDescent="0.3">
      <c r="A71">
        <v>24100</v>
      </c>
      <c r="B71" t="s">
        <v>297</v>
      </c>
      <c r="C71">
        <v>11.2</v>
      </c>
      <c r="D71">
        <v>88.8</v>
      </c>
      <c r="E71">
        <v>10.7</v>
      </c>
      <c r="F71">
        <v>4.28</v>
      </c>
      <c r="G71">
        <v>10</v>
      </c>
      <c r="H71">
        <v>11.363636363636401</v>
      </c>
      <c r="I71">
        <v>8.4</v>
      </c>
      <c r="J71">
        <v>5.3</v>
      </c>
      <c r="K71">
        <v>6.84</v>
      </c>
      <c r="L71">
        <v>26.31</v>
      </c>
      <c r="M71">
        <v>7.1</v>
      </c>
      <c r="N71">
        <v>5.03</v>
      </c>
      <c r="O71">
        <v>57.77</v>
      </c>
      <c r="P71">
        <v>1.26</v>
      </c>
      <c r="Q71">
        <v>35</v>
      </c>
      <c r="R71">
        <v>36.26</v>
      </c>
      <c r="S71">
        <v>1222.83437265774</v>
      </c>
      <c r="T71">
        <v>2695.8429732313598</v>
      </c>
      <c r="U71">
        <v>2695.8429732313598</v>
      </c>
      <c r="V71">
        <v>2695.8429732313598</v>
      </c>
      <c r="W71">
        <v>2695.8429732313598</v>
      </c>
      <c r="X71">
        <v>9.0037000000000006E-2</v>
      </c>
      <c r="Y71">
        <v>9.0037000000000006E-2</v>
      </c>
      <c r="Z71">
        <v>0.458233</v>
      </c>
      <c r="AA71">
        <v>0.458233</v>
      </c>
      <c r="AB71">
        <v>0.15274433333333301</v>
      </c>
      <c r="AC71">
        <v>0.1078222249</v>
      </c>
      <c r="AD71">
        <v>0.17971898259999999</v>
      </c>
      <c r="AE71">
        <v>0.35041077510000002</v>
      </c>
      <c r="AF71">
        <v>135</v>
      </c>
      <c r="AG71">
        <v>0.12715426649852901</v>
      </c>
      <c r="AI71">
        <v>0.08</v>
      </c>
      <c r="AJ71">
        <v>0.03</v>
      </c>
      <c r="AK71">
        <v>0.09</v>
      </c>
      <c r="AL71">
        <v>49.3669828398127</v>
      </c>
      <c r="AM71">
        <v>72.363089584201006</v>
      </c>
      <c r="AN71">
        <v>0.34870000000000001</v>
      </c>
      <c r="AO71">
        <v>0.31374540000000001</v>
      </c>
      <c r="AP71">
        <v>0.21659999999999999</v>
      </c>
      <c r="AQ71">
        <v>0.15369479999999999</v>
      </c>
      <c r="AR71">
        <v>0.23</v>
      </c>
      <c r="AS71">
        <v>0.12737280000000001</v>
      </c>
      <c r="AT71">
        <v>0.4466</v>
      </c>
      <c r="AU71">
        <v>0.28106759999999997</v>
      </c>
      <c r="AV71">
        <v>0.41060000000000002</v>
      </c>
      <c r="AW71">
        <v>0.3076892</v>
      </c>
      <c r="AX71">
        <v>6.9500000000000006E-2</v>
      </c>
      <c r="AY71">
        <v>7.1850499999999998E-2</v>
      </c>
      <c r="AZ71">
        <v>0.36049999999999999</v>
      </c>
      <c r="BA71">
        <v>0.29602620000000002</v>
      </c>
      <c r="BB71">
        <v>1.0304</v>
      </c>
      <c r="BC71">
        <v>0.76175440000000005</v>
      </c>
      <c r="BD71">
        <v>0.55389999999999995</v>
      </c>
      <c r="BE71">
        <v>0.46824270000000001</v>
      </c>
      <c r="BF71">
        <v>0.37580000000000002</v>
      </c>
      <c r="BG71">
        <v>0.27284999999999998</v>
      </c>
      <c r="BH71">
        <v>0.37580000000000002</v>
      </c>
      <c r="BI71">
        <v>0.53845609999999999</v>
      </c>
      <c r="BJ71">
        <v>0.47039999999999998</v>
      </c>
      <c r="BK71">
        <v>0.36439919999999998</v>
      </c>
      <c r="BL71">
        <v>0.3745</v>
      </c>
      <c r="BN71">
        <v>0.46860000000000002</v>
      </c>
      <c r="BP71">
        <v>0.48599999999999999</v>
      </c>
      <c r="BR71">
        <v>1.6825000000000001</v>
      </c>
      <c r="BT71">
        <v>0.76183999999999996</v>
      </c>
      <c r="BV71">
        <v>0.6603</v>
      </c>
      <c r="BX71">
        <v>0.78859000000000001</v>
      </c>
      <c r="BY71">
        <v>0.36439919999999998</v>
      </c>
      <c r="BZ71">
        <v>0.98226000000000002</v>
      </c>
      <c r="CB71">
        <v>0.69657000000000002</v>
      </c>
      <c r="CD71">
        <v>6.3636363636363802</v>
      </c>
      <c r="CE71">
        <v>550</v>
      </c>
      <c r="CF71">
        <v>550</v>
      </c>
    </row>
    <row r="72" spans="1:84" x14ac:dyDescent="0.3">
      <c r="A72">
        <v>24101</v>
      </c>
      <c r="B72" t="s">
        <v>298</v>
      </c>
      <c r="C72">
        <v>10.9</v>
      </c>
      <c r="D72">
        <v>89.1</v>
      </c>
      <c r="E72">
        <v>9.6999999999999993</v>
      </c>
      <c r="F72">
        <v>3.88</v>
      </c>
      <c r="G72">
        <v>5.2</v>
      </c>
      <c r="H72">
        <v>5.9090909090909101</v>
      </c>
      <c r="I72">
        <v>4.3680000000000003</v>
      </c>
      <c r="J72">
        <v>5.3</v>
      </c>
      <c r="K72">
        <v>6.84</v>
      </c>
      <c r="L72">
        <v>26.2</v>
      </c>
      <c r="M72">
        <v>8.6999999999999993</v>
      </c>
      <c r="N72">
        <v>2.5</v>
      </c>
      <c r="O72">
        <v>66.400000000000006</v>
      </c>
      <c r="P72">
        <v>1.26</v>
      </c>
      <c r="Q72">
        <v>35</v>
      </c>
      <c r="R72">
        <v>36.26</v>
      </c>
      <c r="S72">
        <v>1226.9265298279199</v>
      </c>
      <c r="T72">
        <v>2704.8644837476099</v>
      </c>
      <c r="U72">
        <v>2704.8644837476099</v>
      </c>
      <c r="V72">
        <v>2704.8644837476099</v>
      </c>
      <c r="W72">
        <v>2704.8644837476099</v>
      </c>
      <c r="X72">
        <v>4.4749999999999998E-2</v>
      </c>
      <c r="Y72">
        <v>4.4749999999999998E-2</v>
      </c>
      <c r="Z72">
        <v>0.22775000000000001</v>
      </c>
      <c r="AA72">
        <v>0.22775000000000001</v>
      </c>
      <c r="AB72" s="9">
        <v>7.5916666666666702E-2</v>
      </c>
      <c r="AC72">
        <v>5.3589575E-2</v>
      </c>
      <c r="AD72">
        <v>8.9323550000000002E-2</v>
      </c>
      <c r="AE72">
        <v>0.17416042500000001</v>
      </c>
      <c r="AF72">
        <v>135</v>
      </c>
      <c r="AG72">
        <v>0.12715426649852901</v>
      </c>
      <c r="AI72">
        <v>0.08</v>
      </c>
      <c r="AJ72">
        <v>0.03</v>
      </c>
      <c r="AK72">
        <v>0.09</v>
      </c>
      <c r="AL72">
        <v>49.3669828398127</v>
      </c>
      <c r="AM72">
        <v>86.005201432720995</v>
      </c>
      <c r="AN72">
        <v>0.29770000000000002</v>
      </c>
      <c r="AO72">
        <v>0.28442339999999999</v>
      </c>
      <c r="AP72">
        <v>0.1986</v>
      </c>
      <c r="AQ72">
        <v>0.1393308</v>
      </c>
      <c r="AR72">
        <v>0.22</v>
      </c>
      <c r="AS72">
        <v>0.1154688</v>
      </c>
      <c r="AT72">
        <v>0.41860000000000003</v>
      </c>
      <c r="AU72">
        <v>0.25479960000000001</v>
      </c>
      <c r="AV72">
        <v>0.37259999999999999</v>
      </c>
      <c r="AW72">
        <v>0.27893319999999999</v>
      </c>
      <c r="AX72">
        <v>5.45E-2</v>
      </c>
      <c r="AY72">
        <v>6.5135499999999999E-2</v>
      </c>
      <c r="AZ72">
        <v>0.32550000000000001</v>
      </c>
      <c r="BA72">
        <v>0.26836019999999999</v>
      </c>
      <c r="BB72">
        <v>0.96840000000000004</v>
      </c>
      <c r="BC72">
        <v>0.69056240000000002</v>
      </c>
      <c r="BD72">
        <v>0.49690000000000001</v>
      </c>
      <c r="BE72">
        <v>0.42448170000000002</v>
      </c>
      <c r="BF72">
        <v>0.3518</v>
      </c>
      <c r="BG72">
        <v>0.24734999999999999</v>
      </c>
      <c r="BH72">
        <v>0.3518</v>
      </c>
      <c r="BI72">
        <v>0.48813309999999999</v>
      </c>
      <c r="BJ72">
        <v>0.4284</v>
      </c>
      <c r="BK72">
        <v>0.3303432</v>
      </c>
      <c r="BL72">
        <v>0.33950000000000002</v>
      </c>
      <c r="BN72">
        <v>0.42059999999999997</v>
      </c>
      <c r="BP72">
        <v>0.42599999999999999</v>
      </c>
      <c r="BR72">
        <v>1.5674999999999999</v>
      </c>
      <c r="BT72">
        <v>0.69064000000000003</v>
      </c>
      <c r="BV72">
        <v>0.58130000000000004</v>
      </c>
      <c r="BX72">
        <v>0.71489000000000003</v>
      </c>
      <c r="BY72">
        <v>0.3303432</v>
      </c>
      <c r="BZ72">
        <v>0.89046000000000003</v>
      </c>
      <c r="CB72">
        <v>0.63146999999999998</v>
      </c>
      <c r="CD72">
        <v>3.30909090909091</v>
      </c>
      <c r="CE72">
        <v>550</v>
      </c>
      <c r="CF72">
        <v>550</v>
      </c>
    </row>
    <row r="73" spans="1:84" x14ac:dyDescent="0.3">
      <c r="A73">
        <v>24120</v>
      </c>
      <c r="B73" t="s">
        <v>299</v>
      </c>
      <c r="C73">
        <v>11.2</v>
      </c>
      <c r="D73">
        <v>88.8</v>
      </c>
      <c r="E73">
        <v>10.7</v>
      </c>
      <c r="F73">
        <v>5.2430000000000003</v>
      </c>
      <c r="G73">
        <v>45</v>
      </c>
      <c r="H73">
        <v>51.136363636363598</v>
      </c>
      <c r="I73">
        <v>37.799999999999997</v>
      </c>
      <c r="J73">
        <v>5.3</v>
      </c>
      <c r="K73">
        <v>6.84</v>
      </c>
      <c r="L73">
        <v>26.31</v>
      </c>
      <c r="M73">
        <v>7.1</v>
      </c>
      <c r="N73">
        <v>5.03</v>
      </c>
      <c r="O73">
        <v>22.77</v>
      </c>
      <c r="P73">
        <v>1.26</v>
      </c>
      <c r="Q73">
        <v>35</v>
      </c>
      <c r="R73">
        <v>36.26</v>
      </c>
      <c r="S73">
        <v>2216.6858495219899</v>
      </c>
      <c r="T73">
        <v>4886.8735659655804</v>
      </c>
      <c r="U73">
        <v>4886.8735659655804</v>
      </c>
      <c r="V73">
        <v>4886.8735659655804</v>
      </c>
      <c r="W73">
        <v>4886.8735659655804</v>
      </c>
      <c r="X73">
        <v>9.0037000000000006E-2</v>
      </c>
      <c r="Y73">
        <v>9.0037000000000006E-2</v>
      </c>
      <c r="Z73">
        <v>0.458233</v>
      </c>
      <c r="AA73">
        <v>0.458233</v>
      </c>
      <c r="AB73">
        <v>0.15274433333333301</v>
      </c>
      <c r="AC73">
        <v>0.1078222249</v>
      </c>
      <c r="AD73">
        <v>0.17971898259999999</v>
      </c>
      <c r="AE73">
        <v>0.35041077510000002</v>
      </c>
      <c r="AF73">
        <v>135</v>
      </c>
      <c r="AG73">
        <v>0.12715426649852901</v>
      </c>
      <c r="AI73">
        <v>0.08</v>
      </c>
      <c r="AJ73">
        <v>0.03</v>
      </c>
      <c r="AK73">
        <v>0.09</v>
      </c>
      <c r="AL73">
        <v>49.3669828398127</v>
      </c>
      <c r="AM73">
        <v>72.363089584201006</v>
      </c>
      <c r="AN73">
        <v>0.34870000000000001</v>
      </c>
      <c r="AO73">
        <v>0.31374540000000001</v>
      </c>
      <c r="AP73">
        <v>0.21659999999999999</v>
      </c>
      <c r="AQ73">
        <v>0.15369479999999999</v>
      </c>
      <c r="AR73">
        <v>0.23</v>
      </c>
      <c r="AS73">
        <v>0.12737280000000001</v>
      </c>
      <c r="AT73">
        <v>0.4466</v>
      </c>
      <c r="AU73">
        <v>0.28106759999999997</v>
      </c>
      <c r="AV73">
        <v>0.41060000000000002</v>
      </c>
      <c r="AW73">
        <v>0.3076892</v>
      </c>
      <c r="AX73">
        <v>6.9500000000000006E-2</v>
      </c>
      <c r="AY73">
        <v>7.1850499999999998E-2</v>
      </c>
      <c r="AZ73">
        <v>0.36049999999999999</v>
      </c>
      <c r="BA73">
        <v>0.29602620000000002</v>
      </c>
      <c r="BB73">
        <v>1.0304</v>
      </c>
      <c r="BC73">
        <v>0.76175440000000005</v>
      </c>
      <c r="BD73">
        <v>0.55389999999999995</v>
      </c>
      <c r="BE73">
        <v>0.46824270000000001</v>
      </c>
      <c r="BF73">
        <v>0.37580000000000002</v>
      </c>
      <c r="BG73">
        <v>0.27284999999999998</v>
      </c>
      <c r="BH73">
        <v>0.37580000000000002</v>
      </c>
      <c r="BI73">
        <v>0.53845609999999999</v>
      </c>
      <c r="BJ73">
        <v>0.47039999999999998</v>
      </c>
      <c r="BK73">
        <v>0.36439919999999998</v>
      </c>
      <c r="BL73">
        <v>0.3745</v>
      </c>
      <c r="BN73">
        <v>0.46860000000000002</v>
      </c>
      <c r="BP73">
        <v>0.48599999999999999</v>
      </c>
      <c r="BR73">
        <v>1.6825000000000001</v>
      </c>
      <c r="BT73">
        <v>0.76183999999999996</v>
      </c>
      <c r="BV73">
        <v>0.6603</v>
      </c>
      <c r="BX73">
        <v>0.78859000000000001</v>
      </c>
      <c r="BY73">
        <v>0.36439919999999998</v>
      </c>
      <c r="BZ73">
        <v>0.98226000000000002</v>
      </c>
      <c r="CB73">
        <v>0.69657000000000002</v>
      </c>
      <c r="CD73">
        <v>28.636363636363601</v>
      </c>
      <c r="CE73">
        <v>1150</v>
      </c>
      <c r="CF73">
        <v>1150</v>
      </c>
    </row>
    <row r="74" spans="1:84" x14ac:dyDescent="0.3">
      <c r="A74">
        <v>24150</v>
      </c>
      <c r="B74" t="s">
        <v>300</v>
      </c>
      <c r="C74">
        <v>11.4</v>
      </c>
      <c r="D74">
        <v>88.6</v>
      </c>
      <c r="E74">
        <v>20.67</v>
      </c>
      <c r="F74">
        <v>17.569500000000001</v>
      </c>
      <c r="G74">
        <v>3.8</v>
      </c>
      <c r="H74">
        <v>4.8717948717948696</v>
      </c>
      <c r="I74">
        <v>2.1280000000000001</v>
      </c>
      <c r="J74">
        <v>8</v>
      </c>
      <c r="K74">
        <v>6.84</v>
      </c>
      <c r="L74">
        <v>36.5</v>
      </c>
      <c r="M74">
        <v>9.9</v>
      </c>
      <c r="N74">
        <v>6.2</v>
      </c>
      <c r="O74">
        <v>49.93</v>
      </c>
      <c r="P74">
        <v>2.1</v>
      </c>
      <c r="Q74">
        <v>18</v>
      </c>
      <c r="R74">
        <v>20.100000000000001</v>
      </c>
      <c r="S74">
        <v>807.36054762906201</v>
      </c>
      <c r="T74">
        <v>1779.89538718929</v>
      </c>
      <c r="U74">
        <v>1779.89538718929</v>
      </c>
      <c r="V74">
        <v>1779.89538718929</v>
      </c>
      <c r="W74">
        <v>1779.89538718929</v>
      </c>
      <c r="X74">
        <v>0.15995999999999999</v>
      </c>
      <c r="Y74">
        <v>0.15995999999999999</v>
      </c>
      <c r="Z74">
        <v>0.79979999999999996</v>
      </c>
      <c r="AA74">
        <v>0.79979999999999996</v>
      </c>
      <c r="AB74">
        <v>0.2666</v>
      </c>
      <c r="AC74">
        <v>0.219945</v>
      </c>
      <c r="AD74">
        <v>0.32991749999999997</v>
      </c>
      <c r="AE74">
        <v>0.57985500000000001</v>
      </c>
      <c r="AF74">
        <v>135</v>
      </c>
      <c r="AG74">
        <v>0.37263556116015201</v>
      </c>
      <c r="AI74">
        <v>0.15</v>
      </c>
      <c r="AJ74">
        <v>0.22</v>
      </c>
      <c r="AK74">
        <v>0.98</v>
      </c>
      <c r="AL74">
        <v>253.84147948817801</v>
      </c>
      <c r="AM74">
        <v>287.765414138099</v>
      </c>
      <c r="AN74">
        <v>0.72758400000000001</v>
      </c>
      <c r="AO74">
        <v>0.52386047999999996</v>
      </c>
      <c r="AP74">
        <v>0.31470999999999999</v>
      </c>
      <c r="AQ74">
        <v>0.28286895000000001</v>
      </c>
      <c r="AR74">
        <v>0.45507999999999998</v>
      </c>
      <c r="AS74">
        <v>0.28667222999999997</v>
      </c>
      <c r="AT74">
        <v>0.76978999999999997</v>
      </c>
      <c r="AU74">
        <v>0.56954117999999998</v>
      </c>
      <c r="AV74">
        <v>0.72611000000000003</v>
      </c>
      <c r="AW74">
        <v>0.55767659999999997</v>
      </c>
      <c r="AX74">
        <v>0.130221</v>
      </c>
      <c r="AY74">
        <v>0.11199006</v>
      </c>
      <c r="AZ74">
        <v>0.60543000000000002</v>
      </c>
      <c r="BA74">
        <v>0.50339718</v>
      </c>
      <c r="BB74">
        <v>1.7249300000000001</v>
      </c>
      <c r="BC74">
        <v>1.4992984499999999</v>
      </c>
      <c r="BD74">
        <v>0.97416000000000003</v>
      </c>
      <c r="BE74">
        <v>0.82994184000000004</v>
      </c>
      <c r="BF74">
        <v>0.61389899999999997</v>
      </c>
      <c r="BG74">
        <v>0.50953616999999995</v>
      </c>
      <c r="BH74">
        <v>1.019031</v>
      </c>
      <c r="BI74">
        <v>0.89674728000000004</v>
      </c>
      <c r="BJ74">
        <v>0.69511000000000001</v>
      </c>
      <c r="BK74">
        <v>0.64198953000000003</v>
      </c>
      <c r="BL74">
        <v>0.72345000000000004</v>
      </c>
      <c r="BN74">
        <v>0.84348000000000001</v>
      </c>
      <c r="BP74">
        <v>0.91483000000000003</v>
      </c>
      <c r="BR74">
        <v>3.0688900000000001</v>
      </c>
      <c r="BT74">
        <v>1.84667</v>
      </c>
      <c r="BV74">
        <v>1.1885250000000001</v>
      </c>
      <c r="BX74">
        <v>1.4613689999999999</v>
      </c>
      <c r="BY74">
        <v>0.64198953000000003</v>
      </c>
      <c r="BZ74">
        <v>1.8292949999999999</v>
      </c>
      <c r="CB74">
        <v>1.4282969999999999</v>
      </c>
      <c r="CD74">
        <v>2.6794871794871802</v>
      </c>
      <c r="CE74">
        <v>1518</v>
      </c>
      <c r="CF74">
        <v>1518</v>
      </c>
    </row>
    <row r="75" spans="1:84" x14ac:dyDescent="0.3">
      <c r="A75">
        <v>24160</v>
      </c>
      <c r="B75" t="s">
        <v>301</v>
      </c>
      <c r="C75">
        <v>8.6999999999999993</v>
      </c>
      <c r="D75">
        <v>91.3</v>
      </c>
      <c r="E75">
        <v>17</v>
      </c>
      <c r="F75">
        <v>13.26</v>
      </c>
      <c r="G75">
        <v>4.5</v>
      </c>
      <c r="H75">
        <v>5.7692307692307701</v>
      </c>
      <c r="I75">
        <v>2.52</v>
      </c>
      <c r="J75">
        <v>8.5</v>
      </c>
      <c r="K75">
        <v>6.84</v>
      </c>
      <c r="L75">
        <v>33</v>
      </c>
      <c r="M75">
        <v>10</v>
      </c>
      <c r="N75">
        <v>5</v>
      </c>
      <c r="O75">
        <v>56.3</v>
      </c>
      <c r="P75">
        <v>8</v>
      </c>
      <c r="Q75">
        <v>17</v>
      </c>
      <c r="R75">
        <v>25</v>
      </c>
      <c r="S75">
        <v>932.25858126194998</v>
      </c>
      <c r="T75">
        <v>2055.2437858508601</v>
      </c>
      <c r="U75">
        <v>2055.2437858508601</v>
      </c>
      <c r="V75">
        <v>2055.2437858508601</v>
      </c>
      <c r="W75">
        <v>2055.2437858508601</v>
      </c>
      <c r="X75">
        <v>0.129</v>
      </c>
      <c r="Y75">
        <v>0.129</v>
      </c>
      <c r="Z75">
        <v>0.64500000000000002</v>
      </c>
      <c r="AA75">
        <v>0.64500000000000002</v>
      </c>
      <c r="AB75">
        <v>0.215</v>
      </c>
      <c r="AC75">
        <v>0.177375</v>
      </c>
      <c r="AD75">
        <v>0.26606249999999998</v>
      </c>
      <c r="AE75">
        <v>0.46762500000000001</v>
      </c>
      <c r="AF75">
        <v>135</v>
      </c>
      <c r="AG75">
        <v>0.37263556116015201</v>
      </c>
      <c r="AI75">
        <v>0.15</v>
      </c>
      <c r="AJ75">
        <v>0.22</v>
      </c>
      <c r="AK75">
        <v>0.98</v>
      </c>
      <c r="AL75">
        <v>253.84147948817801</v>
      </c>
      <c r="AM75">
        <v>300.194132287461</v>
      </c>
      <c r="AN75">
        <v>0.55079999999999996</v>
      </c>
      <c r="AO75">
        <v>0.40759200000000001</v>
      </c>
      <c r="AP75">
        <v>0.26700000000000002</v>
      </c>
      <c r="AQ75">
        <v>0.21241499999999999</v>
      </c>
      <c r="AR75">
        <v>0.36699999999999999</v>
      </c>
      <c r="AS75">
        <v>0.29766999999999999</v>
      </c>
      <c r="AT75">
        <v>0.63400000000000001</v>
      </c>
      <c r="AU75">
        <v>0.51008500000000001</v>
      </c>
      <c r="AV75">
        <v>0.60499999999999998</v>
      </c>
      <c r="AW75">
        <v>0.40580699999999997</v>
      </c>
      <c r="AX75">
        <v>0.24479999999999999</v>
      </c>
      <c r="AY75">
        <v>0.18360000000000001</v>
      </c>
      <c r="AZ75">
        <v>0.499</v>
      </c>
      <c r="BA75">
        <v>0.45305000000000001</v>
      </c>
      <c r="BB75">
        <v>1.4350000000000001</v>
      </c>
      <c r="BC75">
        <v>0.95470299999999997</v>
      </c>
      <c r="BD75">
        <v>0.79800000000000004</v>
      </c>
      <c r="BE75">
        <v>0.66687600000000002</v>
      </c>
      <c r="BF75">
        <v>0.42159999999999997</v>
      </c>
      <c r="BG75">
        <v>0.37944</v>
      </c>
      <c r="BH75">
        <v>1.0115000000000001</v>
      </c>
      <c r="BI75">
        <v>0.77885499999999996</v>
      </c>
      <c r="BJ75">
        <v>0.57399999999999995</v>
      </c>
      <c r="BK75">
        <v>0.61106499999999997</v>
      </c>
      <c r="BL75">
        <v>0.56779999999999997</v>
      </c>
      <c r="BM75">
        <v>0.55076599999999998</v>
      </c>
      <c r="BN75">
        <v>0.68200000000000005</v>
      </c>
      <c r="BO75">
        <v>0.67666800000000005</v>
      </c>
      <c r="BP75">
        <v>0.73499999999999999</v>
      </c>
      <c r="BQ75">
        <v>0.64045799999999997</v>
      </c>
      <c r="BR75">
        <v>2.456</v>
      </c>
      <c r="BS75">
        <v>3.111408</v>
      </c>
      <c r="BT75">
        <v>1.476</v>
      </c>
      <c r="BU75">
        <v>1.0706599999999999</v>
      </c>
      <c r="BV75">
        <v>1.1254</v>
      </c>
      <c r="BX75">
        <v>1.2393000000000001</v>
      </c>
      <c r="BY75">
        <v>1.1618310000000001</v>
      </c>
      <c r="BZ75">
        <v>1.5487</v>
      </c>
      <c r="CA75">
        <v>1.317126</v>
      </c>
      <c r="CB75">
        <v>0.79559999999999997</v>
      </c>
      <c r="CD75">
        <v>3.1730769230769198</v>
      </c>
      <c r="CE75">
        <v>1518</v>
      </c>
      <c r="CF75">
        <v>1518</v>
      </c>
    </row>
    <row r="76" spans="1:84" x14ac:dyDescent="0.3">
      <c r="A76">
        <v>24200</v>
      </c>
      <c r="B76" t="s">
        <v>302</v>
      </c>
      <c r="C76">
        <v>12</v>
      </c>
      <c r="D76">
        <v>88</v>
      </c>
      <c r="E76">
        <v>2.5</v>
      </c>
      <c r="F76">
        <v>0.7</v>
      </c>
      <c r="G76">
        <v>0.5</v>
      </c>
      <c r="H76">
        <v>1</v>
      </c>
      <c r="I76">
        <v>0.1</v>
      </c>
      <c r="J76">
        <v>6.1</v>
      </c>
      <c r="K76">
        <v>6.84</v>
      </c>
      <c r="L76">
        <v>10.5</v>
      </c>
      <c r="M76">
        <v>7.5</v>
      </c>
      <c r="N76">
        <v>6.2</v>
      </c>
      <c r="O76">
        <v>72.7</v>
      </c>
      <c r="P76">
        <v>2.5</v>
      </c>
      <c r="Q76">
        <v>62.6</v>
      </c>
      <c r="R76">
        <v>65.099999999999994</v>
      </c>
      <c r="S76">
        <v>1223.5274569789699</v>
      </c>
      <c r="T76">
        <v>2697.37093690249</v>
      </c>
      <c r="U76">
        <v>2697.37093690249</v>
      </c>
      <c r="V76">
        <v>2697.37093690249</v>
      </c>
      <c r="W76">
        <v>2697.37093690249</v>
      </c>
      <c r="X76">
        <v>0.23993999999999999</v>
      </c>
      <c r="Y76">
        <v>0.23993999999999999</v>
      </c>
      <c r="Z76">
        <v>9.9820000000000006E-2</v>
      </c>
      <c r="AA76">
        <v>9.9820000000000006E-2</v>
      </c>
      <c r="AB76" s="9">
        <v>3.3273333333333301E-2</v>
      </c>
      <c r="AC76">
        <v>8.9838000000000001E-2</v>
      </c>
      <c r="AD76">
        <v>6.9874000000000006E-2</v>
      </c>
      <c r="AE76">
        <v>9.9819999999999996E-3</v>
      </c>
      <c r="AF76">
        <v>60</v>
      </c>
      <c r="AG76" s="9">
        <v>9.5838587641866493E-2</v>
      </c>
      <c r="AI76">
        <v>0.03</v>
      </c>
      <c r="AJ76">
        <v>7.0000000000000007E-2</v>
      </c>
      <c r="AK76">
        <v>0.49</v>
      </c>
      <c r="AL76">
        <v>118.621992197624</v>
      </c>
      <c r="AM76">
        <v>-62.927897293767998</v>
      </c>
      <c r="AN76">
        <v>0.11700000000000001</v>
      </c>
      <c r="AP76">
        <v>0.03</v>
      </c>
      <c r="AR76">
        <v>3.2000000000000001E-2</v>
      </c>
      <c r="AT76">
        <v>6.2E-2</v>
      </c>
      <c r="AV76">
        <v>8.7999999999999995E-2</v>
      </c>
      <c r="AX76">
        <v>1.7999999999999999E-2</v>
      </c>
      <c r="AZ76">
        <v>0.08</v>
      </c>
      <c r="BB76">
        <v>0.13100000000000001</v>
      </c>
      <c r="BD76">
        <v>0.11700000000000001</v>
      </c>
      <c r="BF76">
        <v>4.3999999999999997E-2</v>
      </c>
      <c r="BH76">
        <v>7.1499999999999994E-2</v>
      </c>
      <c r="BJ76">
        <v>8.2500000000000004E-2</v>
      </c>
      <c r="BL76">
        <v>5.0500000000000003E-2</v>
      </c>
      <c r="BN76">
        <v>9.5000000000000001E-2</v>
      </c>
      <c r="BP76">
        <v>9.35E-2</v>
      </c>
      <c r="BR76">
        <v>0.2</v>
      </c>
      <c r="BT76">
        <v>0.20300000000000001</v>
      </c>
      <c r="BV76">
        <v>0.17199999999999999</v>
      </c>
      <c r="BX76">
        <v>0.1135</v>
      </c>
      <c r="BZ76">
        <v>0.16250000000000001</v>
      </c>
      <c r="CB76">
        <v>0.11650000000000001</v>
      </c>
      <c r="CE76">
        <v>3.8</v>
      </c>
      <c r="CF76">
        <v>3.8</v>
      </c>
    </row>
    <row r="77" spans="1:84" x14ac:dyDescent="0.3">
      <c r="A77">
        <v>24250</v>
      </c>
      <c r="B77" t="s">
        <v>303</v>
      </c>
      <c r="C77">
        <v>9</v>
      </c>
      <c r="D77">
        <v>91</v>
      </c>
      <c r="E77">
        <v>21.4</v>
      </c>
      <c r="F77">
        <v>13.91</v>
      </c>
      <c r="G77">
        <v>2.5</v>
      </c>
      <c r="H77">
        <v>3.125</v>
      </c>
      <c r="I77">
        <v>1.875</v>
      </c>
      <c r="J77">
        <v>14.3</v>
      </c>
      <c r="K77">
        <v>6.84</v>
      </c>
      <c r="L77">
        <v>49.7</v>
      </c>
      <c r="M77">
        <v>26.4</v>
      </c>
      <c r="N77">
        <v>6.3</v>
      </c>
      <c r="O77">
        <v>46.5</v>
      </c>
      <c r="P77">
        <v>9.8000000000000007</v>
      </c>
      <c r="Q77">
        <v>1.3</v>
      </c>
      <c r="R77">
        <v>11.1</v>
      </c>
      <c r="X77">
        <v>0.35027999999999998</v>
      </c>
      <c r="Y77">
        <v>0.35027999999999998</v>
      </c>
      <c r="Z77">
        <v>0.82593000000000005</v>
      </c>
      <c r="AA77">
        <v>0.82593000000000005</v>
      </c>
      <c r="AB77">
        <v>0.27531</v>
      </c>
      <c r="AC77">
        <v>0.167994162</v>
      </c>
      <c r="AD77">
        <v>0.36398735100000001</v>
      </c>
      <c r="AE77">
        <v>0.657935838</v>
      </c>
      <c r="AF77">
        <v>280</v>
      </c>
      <c r="AG77">
        <v>0.56872635561160001</v>
      </c>
      <c r="AI77">
        <v>0.06</v>
      </c>
      <c r="AJ77">
        <v>0.6</v>
      </c>
      <c r="AK77">
        <v>1.85</v>
      </c>
      <c r="AL77">
        <v>329.97877176810101</v>
      </c>
      <c r="AM77">
        <v>431.13124884421802</v>
      </c>
      <c r="AN77">
        <v>0.53286</v>
      </c>
      <c r="AO77">
        <v>0.31438739999999998</v>
      </c>
      <c r="AP77">
        <v>0.37040000000000001</v>
      </c>
      <c r="AQ77">
        <v>0.31438739999999998</v>
      </c>
      <c r="AR77">
        <v>0.24396000000000001</v>
      </c>
      <c r="AS77">
        <v>0.16101360000000001</v>
      </c>
      <c r="AT77">
        <v>5.0039999999999996</v>
      </c>
      <c r="AU77">
        <v>0.47540100000000002</v>
      </c>
      <c r="AV77">
        <v>0.5796</v>
      </c>
      <c r="AW77">
        <v>0.42243599999999998</v>
      </c>
      <c r="AX77">
        <v>0.1578</v>
      </c>
      <c r="AY77">
        <v>0.11716500000000001</v>
      </c>
      <c r="AZ77">
        <v>0.69440000000000002</v>
      </c>
      <c r="BA77">
        <v>0.56324799999999997</v>
      </c>
      <c r="BB77">
        <v>1.2794000000000001</v>
      </c>
      <c r="BC77">
        <v>1.1077710000000001</v>
      </c>
      <c r="BD77">
        <v>1.0391999999999999</v>
      </c>
      <c r="BE77">
        <v>0.8302986</v>
      </c>
      <c r="BF77">
        <v>0.38159999999999999</v>
      </c>
      <c r="BG77">
        <v>0.27907739999999998</v>
      </c>
      <c r="BH77">
        <v>2.3088000000000002</v>
      </c>
      <c r="BI77">
        <v>2.0187903999999999</v>
      </c>
      <c r="BJ77">
        <v>0.82679999999999998</v>
      </c>
      <c r="BK77">
        <v>0.70286159999999998</v>
      </c>
      <c r="BL77">
        <v>0.749</v>
      </c>
      <c r="BN77">
        <v>0.81699999999999995</v>
      </c>
      <c r="BP77">
        <v>0.90459999999999996</v>
      </c>
      <c r="BR77">
        <v>3.8250000000000002</v>
      </c>
      <c r="BT77">
        <v>0.67720000000000002</v>
      </c>
      <c r="BV77">
        <v>1.5762</v>
      </c>
      <c r="BX77">
        <v>1.5857399999999999</v>
      </c>
      <c r="BY77">
        <v>0.70286159999999998</v>
      </c>
      <c r="BZ77">
        <v>1.7804800000000001</v>
      </c>
      <c r="CB77">
        <v>0.84316000000000002</v>
      </c>
      <c r="CD77">
        <v>3.125E-2</v>
      </c>
      <c r="CE77">
        <v>1089</v>
      </c>
      <c r="CF77">
        <v>1089</v>
      </c>
    </row>
    <row r="78" spans="1:84" x14ac:dyDescent="0.3">
      <c r="A78">
        <v>24252</v>
      </c>
      <c r="B78" t="s">
        <v>304</v>
      </c>
      <c r="C78">
        <v>9</v>
      </c>
      <c r="D78">
        <v>91</v>
      </c>
      <c r="E78">
        <v>21.4</v>
      </c>
      <c r="F78">
        <v>13.91</v>
      </c>
      <c r="G78">
        <v>2.5</v>
      </c>
      <c r="H78">
        <v>3.125</v>
      </c>
      <c r="I78">
        <v>1.875</v>
      </c>
      <c r="J78">
        <v>14.3</v>
      </c>
      <c r="K78">
        <v>6.84</v>
      </c>
      <c r="L78">
        <v>49.7</v>
      </c>
      <c r="M78">
        <v>26.4</v>
      </c>
      <c r="N78">
        <v>6.3</v>
      </c>
      <c r="O78">
        <v>46.5</v>
      </c>
      <c r="P78">
        <v>9.8000000000000007</v>
      </c>
      <c r="Q78">
        <v>1.3</v>
      </c>
      <c r="R78">
        <v>11.1</v>
      </c>
      <c r="X78">
        <v>0.35027999999999998</v>
      </c>
      <c r="Y78">
        <v>0.35027999999999998</v>
      </c>
      <c r="Z78">
        <v>0.82593000000000005</v>
      </c>
      <c r="AA78">
        <v>0.82593000000000005</v>
      </c>
      <c r="AB78">
        <v>0.27531</v>
      </c>
      <c r="AC78">
        <v>0.167994162</v>
      </c>
      <c r="AD78">
        <v>0.36398735100000001</v>
      </c>
      <c r="AE78">
        <v>0.657935838</v>
      </c>
      <c r="AF78">
        <v>260</v>
      </c>
      <c r="AG78">
        <v>0.56872635561160001</v>
      </c>
      <c r="AI78">
        <v>0.06</v>
      </c>
      <c r="AJ78">
        <v>0.6</v>
      </c>
      <c r="AK78">
        <v>1.85</v>
      </c>
      <c r="AL78">
        <v>329.97877176810101</v>
      </c>
      <c r="AM78">
        <v>431.13124884421802</v>
      </c>
      <c r="AN78">
        <v>0.53286</v>
      </c>
      <c r="AO78">
        <v>0.31438739999999998</v>
      </c>
      <c r="AP78">
        <v>0.37040000000000001</v>
      </c>
      <c r="AQ78">
        <v>0.31438739999999998</v>
      </c>
      <c r="AR78">
        <v>0.24396000000000001</v>
      </c>
      <c r="AS78">
        <v>0.16101360000000001</v>
      </c>
      <c r="AT78">
        <v>5.0039999999999996</v>
      </c>
      <c r="AU78">
        <v>0.47540100000000002</v>
      </c>
      <c r="AV78">
        <v>0.5796</v>
      </c>
      <c r="AW78">
        <v>0.42243599999999998</v>
      </c>
      <c r="AX78">
        <v>0.1578</v>
      </c>
      <c r="AY78">
        <v>0.11716500000000001</v>
      </c>
      <c r="AZ78">
        <v>0.69440000000000002</v>
      </c>
      <c r="BA78">
        <v>0.56324799999999997</v>
      </c>
      <c r="BB78">
        <v>1.2794000000000001</v>
      </c>
      <c r="BC78">
        <v>1.1077710000000001</v>
      </c>
      <c r="BD78">
        <v>1.0391999999999999</v>
      </c>
      <c r="BE78">
        <v>0.8302986</v>
      </c>
      <c r="BF78">
        <v>0.38159999999999999</v>
      </c>
      <c r="BG78">
        <v>0.27907739999999998</v>
      </c>
      <c r="BH78">
        <v>2.3088000000000002</v>
      </c>
      <c r="BI78">
        <v>2.0187903999999999</v>
      </c>
      <c r="BJ78">
        <v>0.82679999999999998</v>
      </c>
      <c r="BK78">
        <v>0.70286159999999998</v>
      </c>
      <c r="BL78">
        <v>0.749</v>
      </c>
      <c r="BN78">
        <v>0.81699999999999995</v>
      </c>
      <c r="BP78">
        <v>0.90459999999999996</v>
      </c>
      <c r="BR78">
        <v>3.8250000000000002</v>
      </c>
      <c r="BT78">
        <v>0.67720000000000002</v>
      </c>
      <c r="BV78">
        <v>1.5762</v>
      </c>
      <c r="BX78">
        <v>1.5857399999999999</v>
      </c>
      <c r="BY78">
        <v>0.70286159999999998</v>
      </c>
      <c r="BZ78">
        <v>1.7804800000000001</v>
      </c>
      <c r="CB78">
        <v>0.84316000000000002</v>
      </c>
      <c r="CD78">
        <v>3.125E-2</v>
      </c>
      <c r="CE78">
        <v>1089</v>
      </c>
      <c r="CF78">
        <v>1089</v>
      </c>
    </row>
    <row r="79" spans="1:84" x14ac:dyDescent="0.3">
      <c r="A79">
        <v>24255</v>
      </c>
      <c r="B79" t="s">
        <v>305</v>
      </c>
      <c r="C79">
        <v>5.6</v>
      </c>
      <c r="D79">
        <v>94.4</v>
      </c>
      <c r="E79">
        <v>20</v>
      </c>
      <c r="F79">
        <v>13</v>
      </c>
      <c r="G79">
        <v>12.5</v>
      </c>
      <c r="H79">
        <v>15.060240963855399</v>
      </c>
      <c r="I79">
        <v>8.875</v>
      </c>
      <c r="J79">
        <v>10.47</v>
      </c>
      <c r="K79">
        <v>6.84</v>
      </c>
      <c r="L79">
        <v>46.6</v>
      </c>
      <c r="M79">
        <v>25</v>
      </c>
      <c r="N79">
        <v>6.5</v>
      </c>
      <c r="O79">
        <v>44.93</v>
      </c>
      <c r="P79">
        <v>5.5</v>
      </c>
      <c r="Q79">
        <v>0.9</v>
      </c>
      <c r="R79">
        <v>6.4</v>
      </c>
      <c r="X79">
        <v>0.16835</v>
      </c>
      <c r="Y79">
        <v>0.16835</v>
      </c>
      <c r="Z79">
        <v>0.60514999999999997</v>
      </c>
      <c r="AA79">
        <v>0.60514999999999997</v>
      </c>
      <c r="AB79">
        <v>0.20171666666666699</v>
      </c>
      <c r="AC79">
        <v>0.235342835</v>
      </c>
      <c r="AD79">
        <v>0.28018444999999997</v>
      </c>
      <c r="AE79">
        <v>0.36980716499999999</v>
      </c>
      <c r="AF79">
        <v>250</v>
      </c>
      <c r="AG79">
        <v>0.35456073980664099</v>
      </c>
      <c r="AI79">
        <v>0.04</v>
      </c>
      <c r="AJ79">
        <v>0.37</v>
      </c>
      <c r="AK79">
        <v>1.83</v>
      </c>
      <c r="AL79">
        <v>381.04083652556898</v>
      </c>
      <c r="AM79">
        <v>375.91983628902398</v>
      </c>
      <c r="AN79">
        <v>0.46600000000000003</v>
      </c>
      <c r="AO79">
        <v>0.31688</v>
      </c>
      <c r="AP79">
        <v>0.25600000000000001</v>
      </c>
      <c r="AQ79">
        <v>0.18687999999999999</v>
      </c>
      <c r="AR79">
        <v>0.26500000000000001</v>
      </c>
      <c r="AS79">
        <v>0.17956</v>
      </c>
      <c r="AT79">
        <v>0.52100000000000002</v>
      </c>
      <c r="AU79">
        <v>0.36643999999999999</v>
      </c>
      <c r="AV79">
        <v>0.58099999999999996</v>
      </c>
      <c r="AW79">
        <v>0.4032</v>
      </c>
      <c r="AX79">
        <v>0.152</v>
      </c>
      <c r="AY79">
        <v>0.11396000000000001</v>
      </c>
      <c r="AZ79">
        <v>0.622</v>
      </c>
      <c r="BA79">
        <v>0.48671999999999999</v>
      </c>
      <c r="BB79">
        <v>1.2010000000000001</v>
      </c>
      <c r="BC79">
        <v>0.96160000000000001</v>
      </c>
      <c r="BD79">
        <v>0.93600000000000005</v>
      </c>
      <c r="BE79">
        <v>0.72841999999999996</v>
      </c>
      <c r="BF79">
        <v>0.34300000000000003</v>
      </c>
      <c r="BG79">
        <v>0.25112000000000001</v>
      </c>
      <c r="BH79">
        <v>1.988</v>
      </c>
      <c r="BI79">
        <v>1.7035199999999999</v>
      </c>
      <c r="BJ79">
        <v>0.80200000000000005</v>
      </c>
      <c r="BK79">
        <v>0.5726</v>
      </c>
      <c r="BL79">
        <v>0.7</v>
      </c>
      <c r="BN79">
        <v>0.79400000000000004</v>
      </c>
      <c r="BO79">
        <v>0.53198000000000001</v>
      </c>
      <c r="BP79">
        <v>0.83099999999999996</v>
      </c>
      <c r="BQ79">
        <v>0.53247999999999995</v>
      </c>
      <c r="BR79">
        <v>3.48</v>
      </c>
      <c r="BS79">
        <v>2.3271600000000001</v>
      </c>
      <c r="BT79">
        <v>0.64200000000000002</v>
      </c>
      <c r="BU79">
        <v>0.4199</v>
      </c>
      <c r="BV79">
        <v>1.5129999999999999</v>
      </c>
      <c r="BW79">
        <v>0.96389999999999998</v>
      </c>
      <c r="BX79">
        <v>1.518</v>
      </c>
      <c r="BY79">
        <v>0.5726</v>
      </c>
      <c r="BZ79">
        <v>1.6259999999999999</v>
      </c>
      <c r="CA79">
        <v>1.06446</v>
      </c>
      <c r="CB79">
        <v>0.81599999999999995</v>
      </c>
      <c r="CC79">
        <v>0.57120000000000004</v>
      </c>
      <c r="CD79">
        <v>0.30120481927710802</v>
      </c>
      <c r="CE79">
        <v>1089</v>
      </c>
      <c r="CF79">
        <v>1089</v>
      </c>
    </row>
    <row r="80" spans="1:84" x14ac:dyDescent="0.3">
      <c r="A80">
        <v>24300</v>
      </c>
      <c r="B80" t="s">
        <v>306</v>
      </c>
      <c r="C80">
        <v>10</v>
      </c>
      <c r="D80">
        <v>90</v>
      </c>
      <c r="E80">
        <v>34.5</v>
      </c>
      <c r="F80">
        <v>26.22</v>
      </c>
      <c r="G80">
        <v>0.5</v>
      </c>
      <c r="H80">
        <v>0.83333333333333304</v>
      </c>
      <c r="I80">
        <v>0.375</v>
      </c>
      <c r="J80">
        <v>0.5</v>
      </c>
      <c r="K80">
        <v>6.84</v>
      </c>
      <c r="L80">
        <v>1.5</v>
      </c>
      <c r="M80">
        <v>0.5</v>
      </c>
      <c r="N80">
        <v>3.36</v>
      </c>
      <c r="O80">
        <v>51.14</v>
      </c>
      <c r="P80">
        <v>0.1</v>
      </c>
      <c r="Q80">
        <v>0.1</v>
      </c>
      <c r="R80">
        <v>0.2</v>
      </c>
      <c r="S80">
        <v>1340.89624015296</v>
      </c>
      <c r="T80">
        <v>2956.12045889101</v>
      </c>
      <c r="U80">
        <v>2956.12045889101</v>
      </c>
      <c r="V80">
        <v>2956.12045889101</v>
      </c>
      <c r="W80">
        <v>2956.12045889101</v>
      </c>
      <c r="X80">
        <v>0.29064000000000001</v>
      </c>
      <c r="Y80">
        <v>0.29064000000000001</v>
      </c>
      <c r="Z80">
        <v>0.81984000000000001</v>
      </c>
      <c r="AA80">
        <v>0.81984000000000001</v>
      </c>
      <c r="AB80">
        <v>0.27328000000000002</v>
      </c>
      <c r="AC80">
        <v>0.45091199999999998</v>
      </c>
      <c r="AD80">
        <v>0.36892799999999998</v>
      </c>
      <c r="AE80">
        <v>0.36892799999999998</v>
      </c>
      <c r="AF80">
        <v>360</v>
      </c>
      <c r="AG80">
        <v>0.226565783942833</v>
      </c>
      <c r="AI80">
        <v>0.1</v>
      </c>
      <c r="AJ80">
        <v>0.12</v>
      </c>
      <c r="AK80">
        <v>1.8</v>
      </c>
      <c r="AL80">
        <v>470.000117048069</v>
      </c>
      <c r="AM80">
        <v>266.182673851956</v>
      </c>
      <c r="AN80">
        <v>2.5461</v>
      </c>
      <c r="AP80">
        <v>0.52785000000000004</v>
      </c>
      <c r="AR80">
        <v>0.24840000000000001</v>
      </c>
      <c r="AT80">
        <v>0.77625</v>
      </c>
      <c r="AV80">
        <v>1.8216000000000001</v>
      </c>
      <c r="AX80">
        <v>0.42780000000000001</v>
      </c>
      <c r="AZ80">
        <v>1.6559999999999999</v>
      </c>
      <c r="BB80">
        <v>2.41845</v>
      </c>
      <c r="BD80">
        <v>1.9492499999999999</v>
      </c>
      <c r="BF80">
        <v>0.73140000000000005</v>
      </c>
      <c r="BH80">
        <v>1.4973000000000001</v>
      </c>
      <c r="BJ80">
        <v>1.4628000000000001</v>
      </c>
      <c r="BL80">
        <v>1.2075</v>
      </c>
      <c r="BN80">
        <v>1.85955</v>
      </c>
      <c r="BP80">
        <v>1.4662500000000001</v>
      </c>
      <c r="BR80">
        <v>3.6811500000000001</v>
      </c>
      <c r="BT80">
        <v>1.2351000000000001</v>
      </c>
      <c r="BV80">
        <v>3.39825</v>
      </c>
      <c r="BX80">
        <v>2.6703000000000001</v>
      </c>
      <c r="BZ80">
        <v>3.3258000000000001</v>
      </c>
      <c r="CB80">
        <v>2.1735000000000002</v>
      </c>
      <c r="CE80">
        <v>3984</v>
      </c>
      <c r="CF80">
        <v>3984</v>
      </c>
    </row>
    <row r="81" spans="1:84" x14ac:dyDescent="0.3">
      <c r="A81">
        <v>24310</v>
      </c>
      <c r="B81" t="s">
        <v>307</v>
      </c>
      <c r="C81">
        <v>10</v>
      </c>
      <c r="D81">
        <v>90</v>
      </c>
      <c r="E81">
        <v>45</v>
      </c>
      <c r="F81">
        <v>34.200000000000003</v>
      </c>
      <c r="G81">
        <v>1.5</v>
      </c>
      <c r="H81">
        <v>2.5</v>
      </c>
      <c r="I81">
        <v>1.125</v>
      </c>
      <c r="J81">
        <v>0.5</v>
      </c>
      <c r="K81">
        <v>6.84</v>
      </c>
      <c r="L81">
        <v>1.5</v>
      </c>
      <c r="M81">
        <v>0.5</v>
      </c>
      <c r="N81">
        <v>3.5</v>
      </c>
      <c r="O81">
        <v>39.5</v>
      </c>
      <c r="P81">
        <v>0.5</v>
      </c>
      <c r="Q81">
        <v>0.1</v>
      </c>
      <c r="R81">
        <v>0.6</v>
      </c>
      <c r="S81">
        <v>1335.19826959847</v>
      </c>
      <c r="T81">
        <v>2943.5587954110902</v>
      </c>
      <c r="U81">
        <v>2943.5587954110902</v>
      </c>
      <c r="V81">
        <v>2943.5587954110902</v>
      </c>
      <c r="W81">
        <v>2943.5587954110902</v>
      </c>
      <c r="X81">
        <v>0.30275000000000002</v>
      </c>
      <c r="Y81">
        <v>0.30275000000000002</v>
      </c>
      <c r="Z81">
        <v>0.85399999999999998</v>
      </c>
      <c r="AA81">
        <v>0.85399999999999998</v>
      </c>
      <c r="AB81">
        <v>0.28466666666666701</v>
      </c>
      <c r="AC81">
        <v>0.46970000000000001</v>
      </c>
      <c r="AD81">
        <v>0.38429999999999997</v>
      </c>
      <c r="AE81">
        <v>0.38429999999999997</v>
      </c>
      <c r="AF81">
        <v>300</v>
      </c>
      <c r="AG81">
        <v>0.226565783942833</v>
      </c>
      <c r="AI81">
        <v>0.1</v>
      </c>
      <c r="AJ81">
        <v>0.12</v>
      </c>
      <c r="AK81">
        <v>1.8</v>
      </c>
      <c r="AL81">
        <v>470.000117048069</v>
      </c>
      <c r="AM81">
        <v>260.11466061447999</v>
      </c>
      <c r="AN81">
        <v>3.3210000000000002</v>
      </c>
      <c r="AP81">
        <v>0.6885</v>
      </c>
      <c r="AR81">
        <v>0.32400000000000001</v>
      </c>
      <c r="AT81">
        <v>1.0125</v>
      </c>
      <c r="AV81">
        <v>2.3759999999999999</v>
      </c>
      <c r="AX81">
        <v>0.55800000000000005</v>
      </c>
      <c r="AZ81">
        <v>2.16</v>
      </c>
      <c r="BB81">
        <v>3.1545000000000001</v>
      </c>
      <c r="BD81">
        <v>2.5425</v>
      </c>
      <c r="BF81">
        <v>0.95399999999999996</v>
      </c>
      <c r="BH81">
        <v>1.9530000000000001</v>
      </c>
      <c r="BJ81">
        <v>1.9079999999999999</v>
      </c>
      <c r="BL81">
        <v>1.575</v>
      </c>
      <c r="BN81">
        <v>2.4255</v>
      </c>
      <c r="BP81">
        <v>1.9125000000000001</v>
      </c>
      <c r="BR81">
        <v>4.8014999999999999</v>
      </c>
      <c r="BT81">
        <v>1.611</v>
      </c>
      <c r="BV81">
        <v>4.4325000000000001</v>
      </c>
      <c r="BX81">
        <v>3.4830000000000001</v>
      </c>
      <c r="BZ81">
        <v>4.3380000000000001</v>
      </c>
      <c r="CB81">
        <v>2.835</v>
      </c>
      <c r="CE81">
        <v>3984</v>
      </c>
      <c r="CF81">
        <v>3984</v>
      </c>
    </row>
    <row r="82" spans="1:84" x14ac:dyDescent="0.3">
      <c r="A82">
        <v>24320</v>
      </c>
      <c r="B82" t="s">
        <v>308</v>
      </c>
      <c r="C82">
        <v>10</v>
      </c>
      <c r="D82">
        <v>90</v>
      </c>
      <c r="E82">
        <v>50</v>
      </c>
      <c r="F82">
        <v>38</v>
      </c>
      <c r="G82">
        <v>1</v>
      </c>
      <c r="H82">
        <v>1.6666666666666701</v>
      </c>
      <c r="I82">
        <v>0.75</v>
      </c>
      <c r="J82">
        <v>0.2</v>
      </c>
      <c r="K82">
        <v>6.84</v>
      </c>
      <c r="L82">
        <v>0.6</v>
      </c>
      <c r="M82">
        <v>0.2</v>
      </c>
      <c r="N82">
        <v>2</v>
      </c>
      <c r="O82">
        <v>36.799999999999997</v>
      </c>
      <c r="P82">
        <v>0.5</v>
      </c>
      <c r="Q82">
        <v>0.1</v>
      </c>
      <c r="R82">
        <v>0.6</v>
      </c>
      <c r="S82">
        <v>1354.43182026768</v>
      </c>
      <c r="T82">
        <v>2985.9608030592699</v>
      </c>
      <c r="U82">
        <v>2985.9608030592699</v>
      </c>
      <c r="V82">
        <v>2985.9608030592699</v>
      </c>
      <c r="W82">
        <v>2985.9608030592699</v>
      </c>
      <c r="X82">
        <v>0.17299999999999999</v>
      </c>
      <c r="Y82">
        <v>0.17299999999999999</v>
      </c>
      <c r="Z82">
        <v>0.48799999999999999</v>
      </c>
      <c r="AA82">
        <v>0.48799999999999999</v>
      </c>
      <c r="AB82">
        <v>0.16266666666666699</v>
      </c>
      <c r="AC82">
        <v>0.26840000000000003</v>
      </c>
      <c r="AD82">
        <v>0.21959999999999999</v>
      </c>
      <c r="AE82">
        <v>0.21959999999999999</v>
      </c>
      <c r="AF82">
        <v>300</v>
      </c>
      <c r="AG82">
        <v>0.226565783942833</v>
      </c>
      <c r="AI82">
        <v>0.1</v>
      </c>
      <c r="AJ82">
        <v>0.12</v>
      </c>
      <c r="AK82">
        <v>1.8</v>
      </c>
      <c r="AL82">
        <v>470.000117048069</v>
      </c>
      <c r="AM82">
        <v>325.129088158863</v>
      </c>
      <c r="AN82">
        <v>3.69</v>
      </c>
      <c r="AP82">
        <v>0.76500000000000001</v>
      </c>
      <c r="AR82">
        <v>0.36</v>
      </c>
      <c r="AT82">
        <v>1.125</v>
      </c>
      <c r="AV82">
        <v>2.64</v>
      </c>
      <c r="AX82">
        <v>0.62</v>
      </c>
      <c r="AZ82">
        <v>2.4</v>
      </c>
      <c r="BB82">
        <v>3.5049999999999999</v>
      </c>
      <c r="BD82">
        <v>2.8250000000000002</v>
      </c>
      <c r="BF82">
        <v>1.06</v>
      </c>
      <c r="BH82">
        <v>2.17</v>
      </c>
      <c r="BJ82">
        <v>2.12</v>
      </c>
      <c r="BL82">
        <v>1.75</v>
      </c>
      <c r="BN82">
        <v>2.6949999999999998</v>
      </c>
      <c r="BP82">
        <v>2.125</v>
      </c>
      <c r="BR82">
        <v>5.335</v>
      </c>
      <c r="BT82">
        <v>1.79</v>
      </c>
      <c r="BV82">
        <v>4.9249999999999998</v>
      </c>
      <c r="BX82">
        <v>3.87</v>
      </c>
      <c r="BZ82">
        <v>4.82</v>
      </c>
      <c r="CB82">
        <v>3.15</v>
      </c>
      <c r="CE82">
        <v>3984</v>
      </c>
      <c r="CF82">
        <v>3984</v>
      </c>
    </row>
    <row r="83" spans="1:84" x14ac:dyDescent="0.3">
      <c r="A83">
        <v>24350</v>
      </c>
      <c r="B83" t="s">
        <v>309</v>
      </c>
      <c r="C83">
        <v>4</v>
      </c>
      <c r="D83">
        <v>96</v>
      </c>
      <c r="E83">
        <v>25.48</v>
      </c>
      <c r="F83">
        <v>21.403199999999998</v>
      </c>
      <c r="G83">
        <v>2</v>
      </c>
      <c r="H83">
        <v>3.3333333333333299</v>
      </c>
      <c r="I83">
        <v>1.5</v>
      </c>
      <c r="J83">
        <v>16</v>
      </c>
      <c r="K83">
        <v>6.84</v>
      </c>
      <c r="L83">
        <v>45</v>
      </c>
      <c r="M83">
        <v>20</v>
      </c>
      <c r="N83">
        <v>4.5</v>
      </c>
      <c r="O83">
        <v>48.02</v>
      </c>
      <c r="P83">
        <v>0.9</v>
      </c>
      <c r="Q83">
        <v>6.5</v>
      </c>
      <c r="R83">
        <v>7.4</v>
      </c>
      <c r="S83">
        <v>1049.4035132695999</v>
      </c>
      <c r="T83">
        <v>2313.49980879541</v>
      </c>
      <c r="U83">
        <v>2313.49980879541</v>
      </c>
      <c r="V83">
        <v>2313.49980879541</v>
      </c>
      <c r="W83">
        <v>2313.49980879541</v>
      </c>
      <c r="X83">
        <v>0.38924999999999998</v>
      </c>
      <c r="Y83">
        <v>0.38924999999999998</v>
      </c>
      <c r="Z83">
        <v>0.495</v>
      </c>
      <c r="AA83">
        <v>0.495</v>
      </c>
      <c r="AB83">
        <v>0.16500000000000001</v>
      </c>
      <c r="AC83">
        <v>0.27224999999999999</v>
      </c>
      <c r="AD83">
        <v>0.2475</v>
      </c>
      <c r="AE83">
        <v>0.22275</v>
      </c>
      <c r="AF83">
        <v>300</v>
      </c>
      <c r="AG83">
        <v>0.45628415300546399</v>
      </c>
      <c r="AI83">
        <v>0.26</v>
      </c>
      <c r="AJ83">
        <v>0.15</v>
      </c>
      <c r="AK83">
        <v>0.08</v>
      </c>
      <c r="AL83">
        <v>91.288056966996393</v>
      </c>
      <c r="AM83">
        <v>23.480528787781001</v>
      </c>
      <c r="AN83">
        <v>0.85199999999999998</v>
      </c>
      <c r="AO83">
        <v>0.32859008000000001</v>
      </c>
      <c r="AP83">
        <v>0.50395999999999996</v>
      </c>
      <c r="AQ83">
        <v>0.49637587999999999</v>
      </c>
      <c r="AR83">
        <v>0.51004000000000005</v>
      </c>
      <c r="AS83">
        <v>0.38219999999999998</v>
      </c>
      <c r="AT83">
        <v>1.014</v>
      </c>
      <c r="AU83">
        <v>0.87857587999999998</v>
      </c>
      <c r="AV83">
        <v>0.90832000000000002</v>
      </c>
      <c r="AW83">
        <v>0.59072831999999997</v>
      </c>
      <c r="AX83">
        <v>0.29302</v>
      </c>
      <c r="AY83">
        <v>0.19632340000000001</v>
      </c>
      <c r="AZ83">
        <v>1.0176400000000001</v>
      </c>
      <c r="BA83">
        <v>0.76643839999999996</v>
      </c>
      <c r="BB83">
        <v>2.1328</v>
      </c>
      <c r="BC83">
        <v>2.1144323200000001</v>
      </c>
      <c r="BD83">
        <v>1.36632</v>
      </c>
      <c r="BE83">
        <v>1.0573180799999999</v>
      </c>
      <c r="BF83">
        <v>0.55652000000000001</v>
      </c>
      <c r="BG83">
        <v>0.56731220000000004</v>
      </c>
      <c r="BH83">
        <v>1.35608</v>
      </c>
      <c r="BI83">
        <v>0.67901652000000001</v>
      </c>
      <c r="BJ83">
        <v>1.35348</v>
      </c>
      <c r="BK83">
        <v>1.1211964400000001</v>
      </c>
      <c r="BL83">
        <v>0.89180000000000004</v>
      </c>
      <c r="BN83">
        <v>1.0851200000000001</v>
      </c>
      <c r="BP83">
        <v>1.0057199999999999</v>
      </c>
      <c r="BR83">
        <v>4.7021199999999999</v>
      </c>
      <c r="BT83">
        <v>1.8804240000000001</v>
      </c>
      <c r="BV83">
        <v>1.82036</v>
      </c>
      <c r="BX83">
        <v>2.3110360000000001</v>
      </c>
      <c r="BY83">
        <v>1.1211964400000001</v>
      </c>
      <c r="BZ83">
        <v>2.0791680000000001</v>
      </c>
      <c r="CB83">
        <v>1.1491480000000001</v>
      </c>
      <c r="CE83">
        <v>2093</v>
      </c>
      <c r="CF83">
        <v>2093</v>
      </c>
    </row>
    <row r="84" spans="1:84" x14ac:dyDescent="0.3">
      <c r="A84">
        <v>24360</v>
      </c>
      <c r="B84" t="s">
        <v>310</v>
      </c>
      <c r="C84">
        <v>7</v>
      </c>
      <c r="D84">
        <v>93</v>
      </c>
      <c r="E84">
        <v>45.6</v>
      </c>
      <c r="F84">
        <v>34.655999999999999</v>
      </c>
      <c r="G84">
        <v>1.7</v>
      </c>
      <c r="H84">
        <v>2.8333333333333299</v>
      </c>
      <c r="I84">
        <v>1.2749999999999999</v>
      </c>
      <c r="J84">
        <v>2.7</v>
      </c>
      <c r="K84">
        <v>6.84</v>
      </c>
      <c r="L84">
        <v>6</v>
      </c>
      <c r="M84">
        <v>3</v>
      </c>
      <c r="N84">
        <v>4.25</v>
      </c>
      <c r="O84">
        <v>38.75</v>
      </c>
      <c r="P84">
        <v>1</v>
      </c>
      <c r="Q84">
        <v>1</v>
      </c>
      <c r="R84">
        <v>2</v>
      </c>
      <c r="S84">
        <v>1336.94588718929</v>
      </c>
      <c r="T84">
        <v>2947.4115678776302</v>
      </c>
      <c r="U84">
        <v>2947.4115678776302</v>
      </c>
      <c r="V84">
        <v>2947.4115678776302</v>
      </c>
      <c r="W84">
        <v>2947.4115678776302</v>
      </c>
      <c r="X84">
        <v>0.36762499999999998</v>
      </c>
      <c r="Y84">
        <v>0.36762499999999998</v>
      </c>
      <c r="Z84">
        <v>1.0369999999999999</v>
      </c>
      <c r="AA84">
        <v>1.0369999999999999</v>
      </c>
      <c r="AB84">
        <v>0.34566666666666701</v>
      </c>
      <c r="AC84">
        <v>0.57035000000000002</v>
      </c>
      <c r="AD84">
        <v>0.46665000000000001</v>
      </c>
      <c r="AE84">
        <v>0.46665000000000001</v>
      </c>
      <c r="AF84">
        <v>300</v>
      </c>
      <c r="AG84">
        <v>0.226565783942833</v>
      </c>
      <c r="AI84">
        <v>0.1</v>
      </c>
      <c r="AJ84">
        <v>0.12</v>
      </c>
      <c r="AK84">
        <v>1.8</v>
      </c>
      <c r="AL84">
        <v>470.000117048069</v>
      </c>
      <c r="AM84">
        <v>227.607446842287</v>
      </c>
      <c r="AN84">
        <v>3.0278399999999999</v>
      </c>
      <c r="AP84">
        <v>0.70320000000000005</v>
      </c>
      <c r="AR84">
        <v>0.46967999999999999</v>
      </c>
      <c r="AT84">
        <v>1.2218</v>
      </c>
      <c r="AV84">
        <v>2.0958000000000001</v>
      </c>
      <c r="AX84">
        <v>0.57240000000000002</v>
      </c>
      <c r="AZ84">
        <v>0.56088000000000005</v>
      </c>
      <c r="BB84">
        <v>3.0684</v>
      </c>
      <c r="BD84">
        <v>2.3967999999999998</v>
      </c>
      <c r="BF84">
        <v>1.0047999999999999</v>
      </c>
      <c r="BH84">
        <v>2.3538000000000001</v>
      </c>
      <c r="BJ84">
        <v>1.9039999999999999</v>
      </c>
      <c r="BL84">
        <v>1.43184</v>
      </c>
      <c r="BN84">
        <v>2.2010000000000001</v>
      </c>
      <c r="BP84">
        <v>1.9443999999999999</v>
      </c>
      <c r="BR84">
        <v>5.91432</v>
      </c>
      <c r="BT84">
        <v>1.97448</v>
      </c>
      <c r="BV84">
        <v>4.3238000000000003</v>
      </c>
      <c r="BX84">
        <v>3.38808</v>
      </c>
      <c r="BZ84">
        <v>4.1541600000000001</v>
      </c>
      <c r="CB84">
        <v>2.8864800000000002</v>
      </c>
      <c r="CE84">
        <v>2093</v>
      </c>
      <c r="CF84">
        <v>2093</v>
      </c>
    </row>
    <row r="85" spans="1:84" x14ac:dyDescent="0.3">
      <c r="A85">
        <v>24370</v>
      </c>
      <c r="B85" t="s">
        <v>311</v>
      </c>
      <c r="C85">
        <v>10</v>
      </c>
      <c r="D85">
        <v>90</v>
      </c>
      <c r="E85">
        <v>70</v>
      </c>
      <c r="F85">
        <v>51.8</v>
      </c>
      <c r="G85">
        <v>3.2</v>
      </c>
      <c r="H85">
        <v>5.3333333333333304</v>
      </c>
      <c r="I85">
        <v>1.92</v>
      </c>
      <c r="J85">
        <v>0.5</v>
      </c>
      <c r="K85">
        <v>6.84</v>
      </c>
      <c r="L85">
        <v>1.5</v>
      </c>
      <c r="M85">
        <v>0.5</v>
      </c>
      <c r="N85">
        <v>3</v>
      </c>
      <c r="O85">
        <v>13.3</v>
      </c>
      <c r="P85">
        <v>0.1</v>
      </c>
      <c r="Q85">
        <v>0.1</v>
      </c>
      <c r="R85">
        <v>0.2</v>
      </c>
      <c r="S85">
        <v>1206.56266520076</v>
      </c>
      <c r="T85">
        <v>2659.9706022944501</v>
      </c>
      <c r="U85">
        <v>2659.9706022944501</v>
      </c>
      <c r="V85">
        <v>2659.9706022944501</v>
      </c>
      <c r="W85">
        <v>2659.9706022944501</v>
      </c>
      <c r="X85">
        <v>0.25950000000000001</v>
      </c>
      <c r="Y85">
        <v>0.25950000000000001</v>
      </c>
      <c r="Z85">
        <v>0.73199999999999998</v>
      </c>
      <c r="AA85">
        <v>0.73199999999999998</v>
      </c>
      <c r="AB85">
        <v>0.24399999999999999</v>
      </c>
      <c r="AC85">
        <v>0.40260000000000001</v>
      </c>
      <c r="AD85">
        <v>0.32940000000000003</v>
      </c>
      <c r="AE85">
        <v>0.32940000000000003</v>
      </c>
      <c r="AF85">
        <v>300</v>
      </c>
      <c r="AG85" s="9">
        <v>9.6889449348465495E-2</v>
      </c>
      <c r="AI85">
        <v>0.05</v>
      </c>
      <c r="AJ85">
        <v>0.04</v>
      </c>
      <c r="AK85">
        <v>0.3</v>
      </c>
      <c r="AL85">
        <v>87.196970884957494</v>
      </c>
      <c r="AM85">
        <v>-17.75778028549</v>
      </c>
      <c r="CE85">
        <v>3900</v>
      </c>
      <c r="CF85">
        <v>3900</v>
      </c>
    </row>
    <row r="86" spans="1:84" x14ac:dyDescent="0.3">
      <c r="A86">
        <v>24400</v>
      </c>
      <c r="B86" t="s">
        <v>312</v>
      </c>
      <c r="C86">
        <v>10.8</v>
      </c>
      <c r="D86">
        <v>89.2</v>
      </c>
      <c r="E86">
        <v>6.4</v>
      </c>
      <c r="F86">
        <v>4.16</v>
      </c>
      <c r="G86">
        <v>2.1</v>
      </c>
      <c r="H86">
        <v>2.5301204819277099</v>
      </c>
      <c r="I86">
        <v>1.155</v>
      </c>
      <c r="J86">
        <v>13.3</v>
      </c>
      <c r="K86">
        <v>6.84</v>
      </c>
      <c r="L86">
        <v>24.6</v>
      </c>
      <c r="M86">
        <v>18.5</v>
      </c>
      <c r="N86">
        <v>7.1</v>
      </c>
      <c r="O86">
        <v>60.3</v>
      </c>
      <c r="P86">
        <v>22.8</v>
      </c>
      <c r="Q86">
        <v>0.5</v>
      </c>
      <c r="R86">
        <v>23.3</v>
      </c>
      <c r="X86">
        <v>1.50023</v>
      </c>
      <c r="Y86">
        <v>1.50023</v>
      </c>
      <c r="Z86">
        <v>0.10011</v>
      </c>
      <c r="AA86">
        <v>0.10011</v>
      </c>
      <c r="AB86">
        <v>3.3369999999999997E-2</v>
      </c>
      <c r="AC86">
        <v>6.0066000000000001E-2</v>
      </c>
      <c r="AD86">
        <v>5.0055000000000002E-2</v>
      </c>
      <c r="AE86">
        <v>4.0044000000000003E-2</v>
      </c>
      <c r="AF86">
        <v>300</v>
      </c>
      <c r="AG86">
        <v>0.14354770912147899</v>
      </c>
      <c r="AI86">
        <v>0.08</v>
      </c>
      <c r="AJ86">
        <v>0.05</v>
      </c>
      <c r="AK86">
        <v>0.71</v>
      </c>
      <c r="AL86">
        <v>202.284898364931</v>
      </c>
      <c r="AM86">
        <v>766.41963541427697</v>
      </c>
      <c r="AN86">
        <v>0.1956</v>
      </c>
      <c r="AP86">
        <v>6.8599999999999994E-2</v>
      </c>
      <c r="AR86">
        <v>7.2400000000000006E-2</v>
      </c>
      <c r="AT86">
        <v>0.14099999999999999</v>
      </c>
      <c r="AV86">
        <v>0.20319999999999999</v>
      </c>
      <c r="AX86">
        <v>7.0400000000000004E-2</v>
      </c>
      <c r="AZ86">
        <v>0.19059999999999999</v>
      </c>
      <c r="BB86">
        <v>0.34639999999999999</v>
      </c>
      <c r="BD86">
        <v>0.24199999999999999</v>
      </c>
      <c r="BF86">
        <v>0.1052</v>
      </c>
      <c r="BH86">
        <v>0.21959999999999999</v>
      </c>
      <c r="BJ86">
        <v>0.2296</v>
      </c>
      <c r="BL86">
        <v>0.13311999999999999</v>
      </c>
      <c r="BN86">
        <v>0.23899999999999999</v>
      </c>
      <c r="BP86">
        <v>0.2676</v>
      </c>
      <c r="BR86">
        <v>0.53420000000000001</v>
      </c>
      <c r="BT86">
        <v>0.37440000000000001</v>
      </c>
      <c r="BV86">
        <v>0.55059999999999998</v>
      </c>
      <c r="BX86">
        <v>0.38976</v>
      </c>
      <c r="BZ86">
        <v>0.53247999999999995</v>
      </c>
      <c r="CB86">
        <v>0.31616</v>
      </c>
      <c r="CD86">
        <v>0.86024096385542104</v>
      </c>
    </row>
    <row r="87" spans="1:84" x14ac:dyDescent="0.3">
      <c r="A87">
        <v>24415</v>
      </c>
      <c r="B87" t="s">
        <v>17</v>
      </c>
      <c r="C87">
        <v>10</v>
      </c>
      <c r="D87">
        <v>90</v>
      </c>
      <c r="E87">
        <v>4.5999999999999996</v>
      </c>
      <c r="F87">
        <v>2.99</v>
      </c>
      <c r="G87">
        <v>1.1000000000000001</v>
      </c>
      <c r="H87">
        <v>1.375</v>
      </c>
      <c r="I87">
        <v>0.44</v>
      </c>
      <c r="J87">
        <v>29.3</v>
      </c>
      <c r="K87">
        <v>6.84</v>
      </c>
      <c r="L87">
        <v>52</v>
      </c>
      <c r="M87">
        <v>41</v>
      </c>
      <c r="N87">
        <v>15.5</v>
      </c>
      <c r="O87">
        <v>39.5</v>
      </c>
      <c r="P87">
        <v>0.1</v>
      </c>
      <c r="Q87">
        <v>1</v>
      </c>
      <c r="R87">
        <v>1.1000000000000001</v>
      </c>
      <c r="X87">
        <v>8.5250000000000006E-2</v>
      </c>
      <c r="Y87">
        <v>8.5250000000000006E-2</v>
      </c>
      <c r="Z87">
        <v>0.13950000000000001</v>
      </c>
      <c r="AA87">
        <v>0.13950000000000001</v>
      </c>
      <c r="AB87">
        <v>4.65E-2</v>
      </c>
      <c r="AC87">
        <v>2.9295000000000002E-2</v>
      </c>
      <c r="AD87">
        <v>2.7900000000000001E-2</v>
      </c>
      <c r="AE87">
        <v>0.110205</v>
      </c>
      <c r="AF87">
        <v>50</v>
      </c>
      <c r="AM87">
        <v>15.423252429414701</v>
      </c>
      <c r="AN87">
        <v>0.1734</v>
      </c>
      <c r="AO87">
        <v>0.1119594</v>
      </c>
      <c r="AP87">
        <v>6.7000000000000004E-2</v>
      </c>
      <c r="AQ87">
        <v>4.356844E-2</v>
      </c>
      <c r="AR87">
        <v>6.7400000000000002E-2</v>
      </c>
      <c r="AS87">
        <v>2.170625E-2</v>
      </c>
      <c r="AT87">
        <v>0.13439999999999999</v>
      </c>
      <c r="AU87">
        <v>6.5274689999999996E-2</v>
      </c>
      <c r="AV87">
        <v>0.16059999999999999</v>
      </c>
      <c r="AW87">
        <v>7.9350000000000004E-2</v>
      </c>
      <c r="AX87">
        <v>6.1199999999999997E-2</v>
      </c>
      <c r="AY87">
        <v>2.2010999999999999E-2</v>
      </c>
      <c r="AZ87">
        <v>0.1358</v>
      </c>
      <c r="BA87">
        <v>7.6755599999999993E-2</v>
      </c>
      <c r="BB87">
        <v>0.28520000000000001</v>
      </c>
      <c r="BC87">
        <v>0.17341999999999999</v>
      </c>
      <c r="BD87">
        <v>0.22600000000000001</v>
      </c>
      <c r="BE87">
        <v>0.1250694</v>
      </c>
      <c r="BF87">
        <v>8.6400000000000005E-2</v>
      </c>
      <c r="BG87">
        <v>4.1924400000000001E-2</v>
      </c>
      <c r="BH87">
        <v>0.23419999999999999</v>
      </c>
      <c r="BI87">
        <v>0.171488</v>
      </c>
      <c r="BJ87">
        <v>0.19320000000000001</v>
      </c>
      <c r="BK87">
        <v>0.1208466</v>
      </c>
      <c r="BL87">
        <v>0.161</v>
      </c>
      <c r="BM87">
        <v>0.10465000000000001</v>
      </c>
      <c r="BN87">
        <v>0.1782</v>
      </c>
      <c r="BO87">
        <v>0.1196</v>
      </c>
      <c r="BP87">
        <v>0.222</v>
      </c>
      <c r="BQ87">
        <v>0.142623</v>
      </c>
      <c r="BR87">
        <v>0.48559999999999998</v>
      </c>
      <c r="BS87">
        <v>0.332787</v>
      </c>
      <c r="BT87">
        <v>0.25240000000000001</v>
      </c>
      <c r="BU87">
        <v>0.191659</v>
      </c>
      <c r="BV87">
        <v>0.35659999999999997</v>
      </c>
      <c r="BX87">
        <v>0.35282000000000002</v>
      </c>
      <c r="BY87">
        <v>0.22549659999999999</v>
      </c>
      <c r="BZ87">
        <v>0.40342</v>
      </c>
      <c r="CA87">
        <v>0.26222299999999998</v>
      </c>
      <c r="CB87">
        <v>0.25852000000000003</v>
      </c>
      <c r="CE87">
        <v>400</v>
      </c>
      <c r="CF87">
        <v>400</v>
      </c>
    </row>
    <row r="88" spans="1:84" x14ac:dyDescent="0.3">
      <c r="A88">
        <v>24425</v>
      </c>
      <c r="B88" t="s">
        <v>313</v>
      </c>
      <c r="C88">
        <v>11</v>
      </c>
      <c r="D88">
        <v>89</v>
      </c>
      <c r="E88">
        <v>13</v>
      </c>
      <c r="F88">
        <v>8.4499999999999993</v>
      </c>
      <c r="G88">
        <v>3.6</v>
      </c>
      <c r="H88">
        <v>4.5</v>
      </c>
      <c r="I88">
        <v>2.7</v>
      </c>
      <c r="J88">
        <v>32.700000000000003</v>
      </c>
      <c r="K88">
        <v>6.84</v>
      </c>
      <c r="L88">
        <v>57.5</v>
      </c>
      <c r="M88">
        <v>43.3</v>
      </c>
      <c r="N88">
        <v>4.7</v>
      </c>
      <c r="O88">
        <v>35</v>
      </c>
      <c r="P88">
        <v>1</v>
      </c>
      <c r="Q88">
        <v>6</v>
      </c>
      <c r="R88">
        <v>7</v>
      </c>
      <c r="X88">
        <v>0.42018</v>
      </c>
      <c r="Y88">
        <v>0.42018</v>
      </c>
      <c r="Z88">
        <v>0.18987999999999999</v>
      </c>
      <c r="AA88">
        <v>0.18987999999999999</v>
      </c>
      <c r="AB88" s="9">
        <v>6.3293333333333299E-2</v>
      </c>
      <c r="AC88">
        <v>7.9958468000000005E-2</v>
      </c>
      <c r="AD88">
        <v>2.9982051999999999E-2</v>
      </c>
      <c r="AE88">
        <v>0.109921532</v>
      </c>
      <c r="AF88">
        <v>220</v>
      </c>
      <c r="AG88">
        <v>5.0231189575452001E-2</v>
      </c>
      <c r="AI88">
        <v>0.02</v>
      </c>
      <c r="AJ88">
        <v>0.03</v>
      </c>
      <c r="AK88">
        <v>1.26</v>
      </c>
      <c r="AL88">
        <v>322.474753598836</v>
      </c>
      <c r="AM88">
        <v>532.82010042928903</v>
      </c>
      <c r="AN88">
        <v>0.81699999999999995</v>
      </c>
      <c r="AO88">
        <v>0.51624300000000001</v>
      </c>
      <c r="AP88">
        <v>0.14299999999999999</v>
      </c>
      <c r="AQ88">
        <v>9.3646800000000002E-2</v>
      </c>
      <c r="AR88">
        <v>0.21199999999999999</v>
      </c>
      <c r="AS88">
        <v>6.9875000000000007E-2</v>
      </c>
      <c r="AT88">
        <v>0.35499999999999998</v>
      </c>
      <c r="AU88">
        <v>0.16352179999999999</v>
      </c>
      <c r="AV88">
        <v>0.45300000000000001</v>
      </c>
      <c r="AW88">
        <v>0.20810400000000001</v>
      </c>
      <c r="AX88">
        <v>0.16200000000000001</v>
      </c>
      <c r="AY88">
        <v>8.9374999999999996E-2</v>
      </c>
      <c r="AZ88">
        <v>0.48799999999999999</v>
      </c>
      <c r="BA88">
        <v>0.25412400000000002</v>
      </c>
      <c r="BB88">
        <v>0.81399999999999995</v>
      </c>
      <c r="BC88">
        <v>0.453154</v>
      </c>
      <c r="BD88">
        <v>0.56899999999999995</v>
      </c>
      <c r="BE88">
        <v>0.29971500000000001</v>
      </c>
      <c r="BF88">
        <v>0.32300000000000001</v>
      </c>
      <c r="BG88">
        <v>0.161798</v>
      </c>
      <c r="BH88">
        <v>0.68799999999999994</v>
      </c>
      <c r="BI88">
        <v>0.48464000000000002</v>
      </c>
      <c r="BJ88">
        <v>0.51200000000000001</v>
      </c>
      <c r="BK88">
        <v>0.29647800000000002</v>
      </c>
      <c r="BL88">
        <v>0.45500000000000002</v>
      </c>
      <c r="BM88">
        <v>0.20474999999999999</v>
      </c>
      <c r="BN88">
        <v>0.69799999999999995</v>
      </c>
      <c r="BO88">
        <v>0.29432000000000003</v>
      </c>
      <c r="BP88">
        <v>1.0893999999999999</v>
      </c>
      <c r="BQ88">
        <v>0.27234999999999998</v>
      </c>
      <c r="BR88">
        <v>1.5509999999999999</v>
      </c>
      <c r="BS88">
        <v>0.67535000000000001</v>
      </c>
      <c r="BT88">
        <v>0.64400000000000002</v>
      </c>
      <c r="BU88">
        <v>0.15925</v>
      </c>
      <c r="BV88">
        <v>1.2170000000000001</v>
      </c>
      <c r="BX88">
        <v>0.92559999999999998</v>
      </c>
      <c r="BY88">
        <v>0.50122800000000001</v>
      </c>
      <c r="BZ88">
        <v>1.8251999999999999</v>
      </c>
      <c r="CA88">
        <v>0.56667000000000001</v>
      </c>
      <c r="CB88">
        <v>0.54079999999999995</v>
      </c>
      <c r="CD88">
        <v>2.4300000000000002</v>
      </c>
      <c r="CE88">
        <v>440</v>
      </c>
      <c r="CF88">
        <v>440</v>
      </c>
    </row>
    <row r="89" spans="1:84" x14ac:dyDescent="0.3">
      <c r="A89">
        <v>24450</v>
      </c>
      <c r="B89" t="s">
        <v>314</v>
      </c>
      <c r="C89">
        <v>10</v>
      </c>
      <c r="D89">
        <v>90</v>
      </c>
      <c r="E89">
        <v>4.5999999999999996</v>
      </c>
      <c r="F89">
        <v>2.99</v>
      </c>
      <c r="G89">
        <v>1.1000000000000001</v>
      </c>
      <c r="H89">
        <v>1.375</v>
      </c>
      <c r="I89">
        <v>0.44</v>
      </c>
      <c r="J89">
        <v>29.3</v>
      </c>
      <c r="K89">
        <v>6.84</v>
      </c>
      <c r="L89">
        <v>52</v>
      </c>
      <c r="M89">
        <v>41</v>
      </c>
      <c r="N89">
        <v>15.5</v>
      </c>
      <c r="O89">
        <v>39.5</v>
      </c>
      <c r="P89">
        <v>0.1</v>
      </c>
      <c r="Q89">
        <v>1</v>
      </c>
      <c r="R89">
        <v>1.1000000000000001</v>
      </c>
      <c r="X89">
        <v>8.5250000000000006E-2</v>
      </c>
      <c r="Y89">
        <v>8.5250000000000006E-2</v>
      </c>
      <c r="Z89">
        <v>0.13950000000000001</v>
      </c>
      <c r="AA89">
        <v>0.13950000000000001</v>
      </c>
      <c r="AB89">
        <v>4.65E-2</v>
      </c>
      <c r="AC89">
        <v>2.9295000000000002E-2</v>
      </c>
      <c r="AD89">
        <v>2.7900000000000001E-2</v>
      </c>
      <c r="AE89">
        <v>0.110205</v>
      </c>
      <c r="AF89">
        <v>60</v>
      </c>
      <c r="AM89">
        <v>15.423252429414701</v>
      </c>
      <c r="AN89">
        <v>0.1734</v>
      </c>
      <c r="AP89">
        <v>6.7000000000000004E-2</v>
      </c>
      <c r="AR89">
        <v>6.7400000000000002E-2</v>
      </c>
      <c r="AT89">
        <v>0.13439999999999999</v>
      </c>
      <c r="AV89">
        <v>0.16059999999999999</v>
      </c>
      <c r="AX89">
        <v>3.6799999999999999E-2</v>
      </c>
      <c r="AZ89">
        <v>0.1358</v>
      </c>
      <c r="BB89">
        <v>0.28520000000000001</v>
      </c>
      <c r="BD89">
        <v>0.22600000000000001</v>
      </c>
      <c r="BF89">
        <v>8.6400000000000005E-2</v>
      </c>
      <c r="BH89">
        <v>0.23419999999999999</v>
      </c>
      <c r="BJ89">
        <v>0.19320000000000001</v>
      </c>
      <c r="BL89">
        <v>0.14305999999999999</v>
      </c>
      <c r="BM89">
        <v>3.5764999999999998E-2</v>
      </c>
      <c r="BN89">
        <v>0.1782</v>
      </c>
      <c r="BO89">
        <v>3.6799999999999999E-2</v>
      </c>
      <c r="BP89">
        <v>0.222</v>
      </c>
      <c r="BQ89">
        <v>4.4068000000000003E-2</v>
      </c>
      <c r="BR89">
        <v>0.48559999999999998</v>
      </c>
      <c r="BS89">
        <v>0.22852800000000001</v>
      </c>
      <c r="BT89">
        <v>0.25240000000000001</v>
      </c>
      <c r="BU89">
        <v>6.2927999999999998E-2</v>
      </c>
      <c r="BV89">
        <v>0.35659999999999997</v>
      </c>
      <c r="BX89">
        <v>0.32429999999999998</v>
      </c>
      <c r="BY89">
        <v>3.5764999999999998E-2</v>
      </c>
      <c r="BZ89">
        <v>0.40433999999999998</v>
      </c>
      <c r="CA89">
        <v>8.0867999999999995E-2</v>
      </c>
      <c r="CB89">
        <v>0.25897999999999999</v>
      </c>
      <c r="CE89">
        <v>400</v>
      </c>
      <c r="CF89">
        <v>400</v>
      </c>
    </row>
    <row r="90" spans="1:84" x14ac:dyDescent="0.3">
      <c r="A90">
        <v>24451</v>
      </c>
      <c r="B90" t="s">
        <v>315</v>
      </c>
      <c r="C90">
        <v>8.5999999999999908</v>
      </c>
      <c r="D90">
        <v>91.4</v>
      </c>
      <c r="E90">
        <v>3.8</v>
      </c>
      <c r="G90">
        <v>1.3</v>
      </c>
      <c r="J90">
        <v>38.200000000000003</v>
      </c>
      <c r="K90">
        <v>7.3</v>
      </c>
      <c r="L90">
        <v>72.099999999999994</v>
      </c>
      <c r="M90">
        <v>45.8</v>
      </c>
      <c r="N90">
        <v>5.9</v>
      </c>
      <c r="O90">
        <v>42.2</v>
      </c>
      <c r="P90">
        <v>1.5</v>
      </c>
      <c r="Q90">
        <v>1</v>
      </c>
      <c r="R90">
        <v>2.5</v>
      </c>
      <c r="AF90">
        <v>200</v>
      </c>
      <c r="AG90">
        <v>4.6313577133249204</v>
      </c>
      <c r="AI90">
        <v>0.16</v>
      </c>
      <c r="AJ90">
        <v>5.4</v>
      </c>
      <c r="AK90">
        <v>10.9</v>
      </c>
      <c r="AL90">
        <v>1333.9347450380001</v>
      </c>
      <c r="AM90">
        <v>1334.1718775766201</v>
      </c>
    </row>
    <row r="91" spans="1:84" x14ac:dyDescent="0.3">
      <c r="A91">
        <v>24452</v>
      </c>
      <c r="B91" t="s">
        <v>316</v>
      </c>
      <c r="C91">
        <v>8.5</v>
      </c>
      <c r="D91">
        <v>91.5</v>
      </c>
      <c r="E91">
        <v>1</v>
      </c>
      <c r="G91">
        <v>0.4</v>
      </c>
      <c r="J91">
        <v>64.7</v>
      </c>
      <c r="K91">
        <v>6.84</v>
      </c>
      <c r="L91">
        <v>85.6</v>
      </c>
      <c r="M91">
        <v>69.400000000000006</v>
      </c>
      <c r="N91">
        <v>0.7</v>
      </c>
      <c r="O91">
        <v>24.7</v>
      </c>
      <c r="Q91">
        <v>-1.4</v>
      </c>
      <c r="AF91">
        <v>80</v>
      </c>
    </row>
    <row r="92" spans="1:84" x14ac:dyDescent="0.3">
      <c r="A92">
        <v>24453</v>
      </c>
      <c r="B92" t="s">
        <v>317</v>
      </c>
      <c r="C92">
        <v>9.5</v>
      </c>
      <c r="D92">
        <v>90.5</v>
      </c>
      <c r="E92">
        <v>1.3</v>
      </c>
      <c r="G92">
        <v>0.2</v>
      </c>
      <c r="J92">
        <v>65.2</v>
      </c>
      <c r="K92">
        <v>6.84</v>
      </c>
      <c r="L92">
        <v>86.4</v>
      </c>
      <c r="M92">
        <v>68.5</v>
      </c>
      <c r="N92">
        <v>0.5</v>
      </c>
      <c r="O92">
        <v>23.3</v>
      </c>
      <c r="Q92">
        <v>-1</v>
      </c>
      <c r="AF92">
        <v>80</v>
      </c>
    </row>
    <row r="93" spans="1:84" x14ac:dyDescent="0.3">
      <c r="A93">
        <v>24454</v>
      </c>
      <c r="B93" t="s">
        <v>318</v>
      </c>
      <c r="C93">
        <v>10.5</v>
      </c>
      <c r="D93">
        <v>89.5</v>
      </c>
      <c r="E93">
        <v>1.4</v>
      </c>
      <c r="G93">
        <v>1.2</v>
      </c>
      <c r="J93">
        <v>63.1</v>
      </c>
      <c r="K93">
        <v>6.84</v>
      </c>
      <c r="L93">
        <v>80.3</v>
      </c>
      <c r="M93">
        <v>72.900000000000006</v>
      </c>
      <c r="N93">
        <v>0.6</v>
      </c>
      <c r="O93">
        <v>23.2</v>
      </c>
      <c r="AF93">
        <v>80</v>
      </c>
    </row>
    <row r="94" spans="1:84" x14ac:dyDescent="0.3">
      <c r="A94">
        <v>24475</v>
      </c>
      <c r="B94" t="s">
        <v>319</v>
      </c>
      <c r="C94">
        <v>10.3</v>
      </c>
      <c r="D94">
        <v>89.7</v>
      </c>
      <c r="E94">
        <v>8.6</v>
      </c>
      <c r="F94">
        <v>5.59</v>
      </c>
      <c r="G94">
        <v>0.8</v>
      </c>
      <c r="H94">
        <v>1.3333333333333299</v>
      </c>
      <c r="I94">
        <v>0.32</v>
      </c>
      <c r="J94">
        <v>42.8</v>
      </c>
      <c r="K94">
        <v>6.84</v>
      </c>
      <c r="L94">
        <v>22.9</v>
      </c>
      <c r="M94">
        <v>7.7</v>
      </c>
      <c r="N94">
        <v>6</v>
      </c>
      <c r="O94">
        <v>31.5</v>
      </c>
      <c r="X94">
        <v>0.76380000000000003</v>
      </c>
      <c r="Y94">
        <v>0.76380000000000003</v>
      </c>
      <c r="Z94">
        <v>8.5800000000000001E-2</v>
      </c>
      <c r="AA94">
        <v>8.5800000000000001E-2</v>
      </c>
      <c r="AB94">
        <v>2.86E-2</v>
      </c>
      <c r="AC94">
        <v>7.8000780000000006E-2</v>
      </c>
      <c r="AD94">
        <v>4.6803900000000002E-2</v>
      </c>
      <c r="AE94">
        <v>7.7992199999999999E-3</v>
      </c>
      <c r="AF94">
        <v>130</v>
      </c>
      <c r="AG94">
        <v>0.33837746952501102</v>
      </c>
      <c r="AI94">
        <v>0.2</v>
      </c>
      <c r="AJ94">
        <v>0.1</v>
      </c>
      <c r="AK94">
        <v>0.61</v>
      </c>
      <c r="AL94">
        <v>214.825707728118</v>
      </c>
      <c r="AM94">
        <v>447.05130404729101</v>
      </c>
      <c r="AN94">
        <v>0.4924</v>
      </c>
      <c r="AP94">
        <v>0.13416</v>
      </c>
      <c r="AR94">
        <v>0.10464</v>
      </c>
      <c r="AT94">
        <v>0.23880000000000001</v>
      </c>
      <c r="AV94">
        <v>0.40339999999999998</v>
      </c>
      <c r="AX94">
        <v>8.7599999999999997E-2</v>
      </c>
      <c r="AZ94">
        <v>0.31059999999999999</v>
      </c>
      <c r="BB94">
        <v>0.50960000000000005</v>
      </c>
      <c r="BD94">
        <v>0.51119999999999999</v>
      </c>
      <c r="BF94">
        <v>0.2742</v>
      </c>
      <c r="BH94">
        <v>0.33239999999999997</v>
      </c>
      <c r="BJ94">
        <v>0.3196</v>
      </c>
      <c r="BL94">
        <v>0.36980000000000002</v>
      </c>
      <c r="BN94">
        <v>0.42259999999999998</v>
      </c>
      <c r="BP94">
        <v>0.35980000000000001</v>
      </c>
      <c r="BR94">
        <v>0.8054</v>
      </c>
      <c r="BT94">
        <v>0.4078</v>
      </c>
      <c r="BV94">
        <v>0.61780000000000002</v>
      </c>
      <c r="BX94">
        <v>0.67854000000000003</v>
      </c>
      <c r="BZ94">
        <v>0.76883999999999997</v>
      </c>
      <c r="CB94">
        <v>0.38957999999999998</v>
      </c>
      <c r="CD94">
        <v>0.76133333333333097</v>
      </c>
      <c r="CE94">
        <v>818</v>
      </c>
      <c r="CF94">
        <v>818</v>
      </c>
    </row>
    <row r="95" spans="1:84" x14ac:dyDescent="0.3">
      <c r="A95">
        <v>25000</v>
      </c>
      <c r="B95" t="s">
        <v>320</v>
      </c>
      <c r="C95">
        <v>2.65030038</v>
      </c>
      <c r="D95">
        <v>92.5</v>
      </c>
      <c r="E95">
        <v>60.1</v>
      </c>
      <c r="F95">
        <v>52.887999999999998</v>
      </c>
      <c r="G95">
        <v>9</v>
      </c>
      <c r="H95">
        <v>9.375</v>
      </c>
      <c r="I95">
        <v>7.74</v>
      </c>
      <c r="J95">
        <v>1</v>
      </c>
      <c r="K95">
        <v>6.84</v>
      </c>
      <c r="N95">
        <v>19.5</v>
      </c>
      <c r="O95">
        <v>2.9</v>
      </c>
      <c r="S95">
        <v>1375.5929541109001</v>
      </c>
      <c r="T95">
        <v>3032.6123326959801</v>
      </c>
      <c r="U95">
        <v>3032.6123326959801</v>
      </c>
      <c r="V95">
        <v>3032.6123326959801</v>
      </c>
      <c r="W95">
        <v>3032.6123326959801</v>
      </c>
      <c r="X95">
        <v>5.0992499999999996</v>
      </c>
      <c r="Y95">
        <v>5.0992499999999996</v>
      </c>
      <c r="Z95">
        <v>3.0303</v>
      </c>
      <c r="AA95">
        <v>3.0303</v>
      </c>
      <c r="AB95">
        <v>1.0101</v>
      </c>
      <c r="AC95">
        <v>3.0303</v>
      </c>
      <c r="AD95">
        <v>2.1203009100000001</v>
      </c>
      <c r="AF95">
        <v>2600</v>
      </c>
      <c r="AG95">
        <v>2.3064312736443799</v>
      </c>
      <c r="AI95">
        <v>0.84</v>
      </c>
      <c r="AJ95">
        <v>1.5</v>
      </c>
      <c r="AK95">
        <v>0.85</v>
      </c>
      <c r="AL95">
        <v>159.78426253563799</v>
      </c>
      <c r="AM95">
        <v>216.1084338851</v>
      </c>
      <c r="AN95">
        <v>4.0807000000000002</v>
      </c>
      <c r="AO95">
        <v>3.3665015</v>
      </c>
      <c r="AP95">
        <v>1.5167999999999999</v>
      </c>
      <c r="AQ95">
        <v>1.2611384000000001</v>
      </c>
      <c r="AR95">
        <v>0.49309999999999998</v>
      </c>
      <c r="AS95">
        <v>0.30428630000000001</v>
      </c>
      <c r="AT95">
        <v>2.0099</v>
      </c>
      <c r="AU95">
        <v>1.5654246999999999</v>
      </c>
      <c r="AV95">
        <v>2.3018999999999998</v>
      </c>
      <c r="AW95">
        <v>1.8693504000000001</v>
      </c>
      <c r="AX95">
        <v>0.58760000000000001</v>
      </c>
      <c r="AY95">
        <v>0.46529419999999999</v>
      </c>
      <c r="AZ95">
        <v>2.2412999999999998</v>
      </c>
      <c r="BA95">
        <v>1.9486824</v>
      </c>
      <c r="BB95">
        <v>3.9733000000000001</v>
      </c>
      <c r="BC95">
        <v>3.3971524999999998</v>
      </c>
      <c r="BD95">
        <v>2.6718999999999999</v>
      </c>
      <c r="BE95">
        <v>2.2817566</v>
      </c>
      <c r="BF95">
        <v>1.33422</v>
      </c>
      <c r="BG95">
        <v>1.0807182</v>
      </c>
      <c r="BH95">
        <v>3.4746000000000001</v>
      </c>
      <c r="BI95">
        <v>2.8352175000000002</v>
      </c>
      <c r="BJ95">
        <v>2.1916000000000002</v>
      </c>
      <c r="BK95">
        <v>1.8606358999999999</v>
      </c>
      <c r="BL95">
        <v>1.8330500000000001</v>
      </c>
      <c r="BM95">
        <v>1.5764229999999999</v>
      </c>
      <c r="BN95">
        <v>2.2744</v>
      </c>
      <c r="BO95">
        <v>1.8307061</v>
      </c>
      <c r="BP95">
        <v>4.2190200000000004</v>
      </c>
      <c r="BQ95">
        <v>3.4174061999999998</v>
      </c>
      <c r="BR95">
        <v>7.2271299999999998</v>
      </c>
      <c r="BS95">
        <v>6.1144537999999997</v>
      </c>
      <c r="BT95">
        <v>2.8247</v>
      </c>
      <c r="BU95">
        <v>2.2880069999999999</v>
      </c>
      <c r="BV95">
        <v>5.1207000000000003</v>
      </c>
      <c r="BX95">
        <v>4.0747799999999996</v>
      </c>
      <c r="BY95">
        <v>3.4370588999999998</v>
      </c>
      <c r="BZ95">
        <v>6.42469</v>
      </c>
      <c r="CA95">
        <v>5.2481122999999998</v>
      </c>
      <c r="CB95">
        <v>3.7382200000000001</v>
      </c>
      <c r="CC95">
        <v>3.2148691999999999</v>
      </c>
      <c r="CE95">
        <v>2125</v>
      </c>
      <c r="CF95">
        <v>2125</v>
      </c>
    </row>
    <row r="96" spans="1:84" x14ac:dyDescent="0.3">
      <c r="A96">
        <v>25050</v>
      </c>
      <c r="B96" t="s">
        <v>321</v>
      </c>
      <c r="C96">
        <v>7</v>
      </c>
      <c r="D96">
        <v>93</v>
      </c>
      <c r="E96">
        <v>66.599999999999994</v>
      </c>
      <c r="F96">
        <v>59.94</v>
      </c>
      <c r="G96">
        <v>10.7</v>
      </c>
      <c r="H96">
        <v>11.1458333333333</v>
      </c>
      <c r="I96">
        <v>9.202</v>
      </c>
      <c r="J96">
        <v>1</v>
      </c>
      <c r="K96">
        <v>6.84</v>
      </c>
      <c r="N96">
        <v>12.6</v>
      </c>
      <c r="O96">
        <v>2.1</v>
      </c>
      <c r="S96">
        <v>1522.8568393881501</v>
      </c>
      <c r="T96">
        <v>3357.26816443595</v>
      </c>
      <c r="U96">
        <v>3357.26816443595</v>
      </c>
      <c r="V96">
        <v>3357.26816443595</v>
      </c>
      <c r="W96">
        <v>3357.26816443595</v>
      </c>
      <c r="X96">
        <v>3.0895199999999998</v>
      </c>
      <c r="Y96">
        <v>3.0895199999999998</v>
      </c>
      <c r="Z96">
        <v>2.1130200000000001</v>
      </c>
      <c r="AA96">
        <v>2.1130200000000001</v>
      </c>
      <c r="AB96">
        <v>0.70433999999999997</v>
      </c>
      <c r="AC96">
        <v>2.1130200000000001</v>
      </c>
      <c r="AD96">
        <v>154.5885432</v>
      </c>
      <c r="AF96">
        <v>1570</v>
      </c>
      <c r="AG96">
        <v>0.96364018495166004</v>
      </c>
      <c r="AI96">
        <v>0.4</v>
      </c>
      <c r="AJ96">
        <v>0.55000000000000004</v>
      </c>
      <c r="AK96">
        <v>0.7</v>
      </c>
      <c r="AL96">
        <v>197.93528393114201</v>
      </c>
      <c r="AM96">
        <v>15.914115817140001</v>
      </c>
      <c r="AN96">
        <v>4.7762000000000002</v>
      </c>
      <c r="AO96">
        <v>3.7305990000000002</v>
      </c>
      <c r="AP96">
        <v>1.7638</v>
      </c>
      <c r="AQ96">
        <v>1.3975344000000001</v>
      </c>
      <c r="AR96">
        <v>0.56459999999999999</v>
      </c>
      <c r="AS96">
        <v>0.33719579999999999</v>
      </c>
      <c r="AT96">
        <v>2.3283999999999998</v>
      </c>
      <c r="AU96">
        <v>1.7347302</v>
      </c>
      <c r="AV96">
        <v>2.6204000000000001</v>
      </c>
      <c r="AW96">
        <v>2.0715264000000002</v>
      </c>
      <c r="AX96">
        <v>0.69159999999999999</v>
      </c>
      <c r="AY96">
        <v>0.5156172</v>
      </c>
      <c r="AZ96">
        <v>2.5857999999999999</v>
      </c>
      <c r="BA96">
        <v>2.1594384</v>
      </c>
      <c r="BB96">
        <v>4.5777999999999999</v>
      </c>
      <c r="BC96">
        <v>3.7645650000000002</v>
      </c>
      <c r="BD96">
        <v>3.0554000000000001</v>
      </c>
      <c r="BE96">
        <v>2.5285356000000001</v>
      </c>
      <c r="BF96">
        <v>1.4785200000000001</v>
      </c>
      <c r="BG96">
        <v>1.1976012</v>
      </c>
      <c r="BH96">
        <v>3.8386</v>
      </c>
      <c r="BI96">
        <v>3.1418550000000001</v>
      </c>
      <c r="BJ96">
        <v>2.4906000000000001</v>
      </c>
      <c r="BK96">
        <v>2.0618694</v>
      </c>
      <c r="BL96">
        <v>2.0312999999999999</v>
      </c>
      <c r="BM96">
        <v>1.787544</v>
      </c>
      <c r="BN96">
        <v>2.5604</v>
      </c>
      <c r="BO96">
        <v>2.0287025999999999</v>
      </c>
      <c r="BP96">
        <v>4.6753200000000001</v>
      </c>
      <c r="BQ96">
        <v>3.7870092</v>
      </c>
      <c r="BR96">
        <v>8.1455800000000007</v>
      </c>
      <c r="BS96">
        <v>6.7757508</v>
      </c>
      <c r="BT96">
        <v>3.1301999999999999</v>
      </c>
      <c r="BU96">
        <v>2.5354619999999999</v>
      </c>
      <c r="BV96">
        <v>5.8162000000000003</v>
      </c>
      <c r="BX96">
        <v>4.5154800000000002</v>
      </c>
      <c r="BY96">
        <v>3.8494134</v>
      </c>
      <c r="BZ96">
        <v>7.1195399999999998</v>
      </c>
      <c r="CA96">
        <v>5.8157117999999999</v>
      </c>
      <c r="CB96">
        <v>4.1425200000000002</v>
      </c>
      <c r="CC96">
        <v>3.5625672000000002</v>
      </c>
      <c r="CE96">
        <v>3750</v>
      </c>
      <c r="CF96">
        <v>3750</v>
      </c>
    </row>
    <row r="97" spans="1:84" x14ac:dyDescent="0.3">
      <c r="A97">
        <v>25100</v>
      </c>
      <c r="B97" t="s">
        <v>322</v>
      </c>
      <c r="C97">
        <v>6</v>
      </c>
      <c r="D97">
        <v>94</v>
      </c>
      <c r="E97">
        <v>60</v>
      </c>
      <c r="F97">
        <v>45.6</v>
      </c>
      <c r="G97">
        <v>15</v>
      </c>
      <c r="H97">
        <v>15.9574468085106</v>
      </c>
      <c r="I97">
        <v>13.5</v>
      </c>
      <c r="J97">
        <v>1</v>
      </c>
      <c r="K97">
        <v>6.84</v>
      </c>
      <c r="N97">
        <v>14</v>
      </c>
      <c r="O97">
        <v>4</v>
      </c>
      <c r="S97">
        <v>1349.41663479923</v>
      </c>
      <c r="T97">
        <v>2974.9043977055398</v>
      </c>
      <c r="U97">
        <v>2974.9043977055398</v>
      </c>
      <c r="V97">
        <v>2974.9043977055398</v>
      </c>
      <c r="W97">
        <v>2974.9043977055398</v>
      </c>
      <c r="X97">
        <v>3.7183999999999999</v>
      </c>
      <c r="Y97">
        <v>3.7183999999999999</v>
      </c>
      <c r="Z97">
        <v>1.6519999999999999</v>
      </c>
      <c r="AA97">
        <v>1.6519999999999999</v>
      </c>
      <c r="AB97">
        <v>0.55066666666666697</v>
      </c>
      <c r="AC97">
        <v>1.6519999999999999</v>
      </c>
      <c r="AD97">
        <v>1.1013884</v>
      </c>
      <c r="AF97">
        <v>1300</v>
      </c>
      <c r="AG97">
        <v>1.0298444724674201</v>
      </c>
      <c r="AI97">
        <v>0.49</v>
      </c>
      <c r="AJ97">
        <v>0.49</v>
      </c>
      <c r="AK97">
        <v>0.53</v>
      </c>
      <c r="AL97">
        <v>210.548984587923</v>
      </c>
      <c r="AM97">
        <v>497.69460066154801</v>
      </c>
      <c r="AN97">
        <v>3.5059999999999998</v>
      </c>
      <c r="AO97">
        <v>2.4154200000000001</v>
      </c>
      <c r="AP97">
        <v>1.149</v>
      </c>
      <c r="AQ97">
        <v>0.86856</v>
      </c>
      <c r="AR97">
        <v>0.69599999999999995</v>
      </c>
      <c r="AS97">
        <v>0.38976</v>
      </c>
      <c r="AT97">
        <v>1.8640000000000001</v>
      </c>
      <c r="AU97">
        <v>1.2583200000000001</v>
      </c>
      <c r="AV97">
        <v>2.3079999999999998</v>
      </c>
      <c r="AW97">
        <v>1.6188</v>
      </c>
      <c r="AX97">
        <v>0.60499999999999998</v>
      </c>
      <c r="AY97">
        <v>0.42587999999999998</v>
      </c>
      <c r="AZ97">
        <v>2.3239999999999998</v>
      </c>
      <c r="BA97">
        <v>1.6964999999999999</v>
      </c>
      <c r="BB97">
        <v>4.194</v>
      </c>
      <c r="BC97">
        <v>3.1785600000000001</v>
      </c>
      <c r="BD97">
        <v>2.8410000000000002</v>
      </c>
      <c r="BE97">
        <v>2.09124</v>
      </c>
      <c r="BF97">
        <v>1.236</v>
      </c>
      <c r="BG97">
        <v>0.91464000000000001</v>
      </c>
      <c r="BH97">
        <v>3.97</v>
      </c>
      <c r="BI97">
        <v>3.97</v>
      </c>
      <c r="BJ97">
        <v>2.3290000000000002</v>
      </c>
      <c r="BK97">
        <v>2.3290000000000002</v>
      </c>
      <c r="BL97">
        <v>1.6379999999999999</v>
      </c>
      <c r="BM97">
        <v>1.37592</v>
      </c>
      <c r="BN97">
        <v>2.556</v>
      </c>
      <c r="BO97">
        <v>1.917</v>
      </c>
      <c r="BP97">
        <v>5.6520000000000001</v>
      </c>
      <c r="BQ97">
        <v>4.18248</v>
      </c>
      <c r="BR97">
        <v>7.5540000000000003</v>
      </c>
      <c r="BS97">
        <v>5.83596</v>
      </c>
      <c r="BT97">
        <v>3.9</v>
      </c>
      <c r="BU97">
        <v>3.0419999999999998</v>
      </c>
      <c r="BV97">
        <v>4.8330000000000002</v>
      </c>
      <c r="BX97">
        <v>3.948</v>
      </c>
      <c r="BY97">
        <v>3.15462</v>
      </c>
      <c r="BZ97">
        <v>8.2080000000000002</v>
      </c>
      <c r="CA97">
        <v>6.0994799999999998</v>
      </c>
      <c r="CB97">
        <v>3.8340000000000001</v>
      </c>
      <c r="CD97">
        <v>3.22340425531914</v>
      </c>
      <c r="CE97">
        <v>2080</v>
      </c>
      <c r="CF97">
        <v>2080</v>
      </c>
    </row>
    <row r="98" spans="1:84" x14ac:dyDescent="0.3">
      <c r="A98">
        <v>25110</v>
      </c>
      <c r="B98" t="s">
        <v>323</v>
      </c>
      <c r="C98">
        <v>6</v>
      </c>
      <c r="D98">
        <v>94</v>
      </c>
      <c r="E98">
        <v>60</v>
      </c>
      <c r="F98">
        <v>49.2</v>
      </c>
      <c r="G98">
        <v>15</v>
      </c>
      <c r="H98">
        <v>15.9574468085106</v>
      </c>
      <c r="I98">
        <v>13.8</v>
      </c>
      <c r="J98">
        <v>1</v>
      </c>
      <c r="K98">
        <v>6.84</v>
      </c>
      <c r="N98">
        <v>14</v>
      </c>
      <c r="O98">
        <v>4</v>
      </c>
      <c r="S98">
        <v>1349.41663479923</v>
      </c>
      <c r="T98">
        <v>2974.9043977055398</v>
      </c>
      <c r="U98">
        <v>2974.9043977055398</v>
      </c>
      <c r="V98">
        <v>2974.9043977055398</v>
      </c>
      <c r="W98">
        <v>2974.9043977055398</v>
      </c>
      <c r="X98">
        <v>3.7183999999999999</v>
      </c>
      <c r="Y98">
        <v>3.7183999999999999</v>
      </c>
      <c r="Z98">
        <v>1.6519999999999999</v>
      </c>
      <c r="AA98">
        <v>1.6519999999999999</v>
      </c>
      <c r="AB98">
        <v>0.55066666666666697</v>
      </c>
      <c r="AC98">
        <v>1.6519999999999999</v>
      </c>
      <c r="AD98">
        <v>1.1013884</v>
      </c>
      <c r="AF98">
        <v>1300</v>
      </c>
      <c r="AG98">
        <v>1.0298444724674201</v>
      </c>
      <c r="AI98">
        <v>0.49</v>
      </c>
      <c r="AJ98">
        <v>0.49</v>
      </c>
      <c r="AK98">
        <v>0.53</v>
      </c>
      <c r="AL98">
        <v>210.548984587923</v>
      </c>
      <c r="AM98">
        <v>497.69460066154801</v>
      </c>
      <c r="AN98">
        <v>3.5059999999999998</v>
      </c>
      <c r="AO98">
        <v>2.4154200000000001</v>
      </c>
      <c r="AP98">
        <v>1.149</v>
      </c>
      <c r="AQ98">
        <v>0.86856</v>
      </c>
      <c r="AR98">
        <v>0.69599999999999995</v>
      </c>
      <c r="AS98">
        <v>0.38976</v>
      </c>
      <c r="AT98">
        <v>1.8640000000000001</v>
      </c>
      <c r="AU98">
        <v>1.2583200000000001</v>
      </c>
      <c r="AV98">
        <v>2.3079999999999998</v>
      </c>
      <c r="AW98">
        <v>1.6188</v>
      </c>
      <c r="AX98">
        <v>0.60499999999999998</v>
      </c>
      <c r="AY98">
        <v>0.42587999999999998</v>
      </c>
      <c r="AZ98">
        <v>2.3239999999999998</v>
      </c>
      <c r="BA98">
        <v>1.6964999999999999</v>
      </c>
      <c r="BB98">
        <v>4.194</v>
      </c>
      <c r="BC98">
        <v>3.1785600000000001</v>
      </c>
      <c r="BD98">
        <v>2.8410000000000002</v>
      </c>
      <c r="BE98">
        <v>2.09124</v>
      </c>
      <c r="BF98">
        <v>1.236</v>
      </c>
      <c r="BG98">
        <v>0.91464000000000001</v>
      </c>
      <c r="BH98">
        <v>3.97</v>
      </c>
      <c r="BI98">
        <v>3.97</v>
      </c>
      <c r="BJ98">
        <v>2.3889999999999998</v>
      </c>
      <c r="BK98">
        <v>2.3290000000000002</v>
      </c>
      <c r="BL98">
        <v>1.6379999999999999</v>
      </c>
      <c r="BM98">
        <v>1.4086799999999999</v>
      </c>
      <c r="BN98">
        <v>2.556</v>
      </c>
      <c r="BO98">
        <v>1.9936799999999999</v>
      </c>
      <c r="BP98">
        <v>5.6520000000000001</v>
      </c>
      <c r="BQ98">
        <v>4.2955199999999998</v>
      </c>
      <c r="BR98">
        <v>7.5540000000000003</v>
      </c>
      <c r="BS98">
        <v>5.9855999999999998</v>
      </c>
      <c r="BT98">
        <v>3.9</v>
      </c>
      <c r="BU98">
        <v>3.12</v>
      </c>
      <c r="BV98">
        <v>4.8330000000000002</v>
      </c>
      <c r="BX98">
        <v>3.948</v>
      </c>
      <c r="BY98">
        <v>3.1873800000000001</v>
      </c>
      <c r="BZ98">
        <v>8.2080000000000002</v>
      </c>
      <c r="CA98">
        <v>6.2892000000000001</v>
      </c>
      <c r="CB98">
        <v>3.8340000000000001</v>
      </c>
      <c r="CD98">
        <v>3.22340425531914</v>
      </c>
      <c r="CE98">
        <v>2080</v>
      </c>
      <c r="CF98">
        <v>2080</v>
      </c>
    </row>
    <row r="99" spans="1:84" x14ac:dyDescent="0.3">
      <c r="A99">
        <v>25115</v>
      </c>
      <c r="B99" t="s">
        <v>324</v>
      </c>
      <c r="C99">
        <v>6</v>
      </c>
      <c r="D99">
        <v>94</v>
      </c>
      <c r="E99">
        <v>60</v>
      </c>
      <c r="F99">
        <v>52.8</v>
      </c>
      <c r="G99">
        <v>15</v>
      </c>
      <c r="H99">
        <v>15.9574468085106</v>
      </c>
      <c r="I99">
        <v>14.1</v>
      </c>
      <c r="J99">
        <v>1</v>
      </c>
      <c r="K99">
        <v>6.84</v>
      </c>
      <c r="N99">
        <v>14</v>
      </c>
      <c r="O99">
        <v>4</v>
      </c>
      <c r="S99">
        <v>1349.41663479923</v>
      </c>
      <c r="T99">
        <v>2974.9043977055398</v>
      </c>
      <c r="U99">
        <v>2974.9043977055398</v>
      </c>
      <c r="V99">
        <v>2974.9043977055398</v>
      </c>
      <c r="W99">
        <v>2974.9043977055398</v>
      </c>
      <c r="X99">
        <v>3.7183999999999999</v>
      </c>
      <c r="Y99">
        <v>3.7183999999999999</v>
      </c>
      <c r="Z99">
        <v>1.6519999999999999</v>
      </c>
      <c r="AA99">
        <v>1.6519999999999999</v>
      </c>
      <c r="AB99">
        <v>0.55066666666666697</v>
      </c>
      <c r="AC99">
        <v>1.6519999999999999</v>
      </c>
      <c r="AD99">
        <v>1.1013884</v>
      </c>
      <c r="AF99">
        <v>1300</v>
      </c>
      <c r="AG99">
        <v>1.0298444724674201</v>
      </c>
      <c r="AI99">
        <v>0.49</v>
      </c>
      <c r="AJ99">
        <v>0.49</v>
      </c>
      <c r="AK99">
        <v>0.53</v>
      </c>
      <c r="AL99">
        <v>210.548984587923</v>
      </c>
      <c r="AM99">
        <v>497.69460066154801</v>
      </c>
      <c r="AN99">
        <v>3.5059999999999998</v>
      </c>
      <c r="AO99">
        <v>2.4154200000000001</v>
      </c>
      <c r="AP99">
        <v>1.149</v>
      </c>
      <c r="AQ99">
        <v>0.86856</v>
      </c>
      <c r="AR99">
        <v>0.69599999999999995</v>
      </c>
      <c r="AS99">
        <v>0.38976</v>
      </c>
      <c r="AT99">
        <v>1.8640000000000001</v>
      </c>
      <c r="AU99">
        <v>1.2583200000000001</v>
      </c>
      <c r="AV99">
        <v>2.3079999999999998</v>
      </c>
      <c r="AW99">
        <v>1.6188</v>
      </c>
      <c r="AX99">
        <v>0.60499999999999998</v>
      </c>
      <c r="AY99">
        <v>0.42587999999999998</v>
      </c>
      <c r="AZ99">
        <v>2.3239999999999998</v>
      </c>
      <c r="BA99">
        <v>1.6964999999999999</v>
      </c>
      <c r="BB99">
        <v>4.194</v>
      </c>
      <c r="BC99">
        <v>3.1785600000000001</v>
      </c>
      <c r="BD99">
        <v>2.8410000000000002</v>
      </c>
      <c r="BE99">
        <v>2.09124</v>
      </c>
      <c r="BF99">
        <v>1.236</v>
      </c>
      <c r="BG99">
        <v>0.91464000000000001</v>
      </c>
      <c r="BH99">
        <v>3.972</v>
      </c>
      <c r="BI99">
        <v>3.97</v>
      </c>
      <c r="BJ99">
        <v>2.3889999999999998</v>
      </c>
      <c r="BK99">
        <v>2.3290000000000002</v>
      </c>
      <c r="BL99">
        <v>1.6379999999999999</v>
      </c>
      <c r="BM99">
        <v>1.4414400000000001</v>
      </c>
      <c r="BN99">
        <v>2.556</v>
      </c>
      <c r="BO99">
        <v>2.0448</v>
      </c>
      <c r="BP99">
        <v>5.6520000000000001</v>
      </c>
      <c r="BQ99">
        <v>4.4085599999999996</v>
      </c>
      <c r="BR99">
        <v>7.5540000000000003</v>
      </c>
      <c r="BS99">
        <v>6.1352399999999996</v>
      </c>
      <c r="BT99">
        <v>3.9</v>
      </c>
      <c r="BU99">
        <v>3.198</v>
      </c>
      <c r="BV99">
        <v>4.8330000000000002</v>
      </c>
      <c r="BX99">
        <v>3.948</v>
      </c>
      <c r="BY99">
        <v>3.2201399999999998</v>
      </c>
      <c r="BZ99">
        <v>8.2080000000000002</v>
      </c>
      <c r="CA99">
        <v>6.45336</v>
      </c>
      <c r="CB99">
        <v>3.8340000000000001</v>
      </c>
      <c r="CD99">
        <v>3.22340425531914</v>
      </c>
      <c r="CE99">
        <v>2080</v>
      </c>
      <c r="CF99">
        <v>2080</v>
      </c>
    </row>
    <row r="100" spans="1:84" x14ac:dyDescent="0.3">
      <c r="A100">
        <v>25150</v>
      </c>
      <c r="B100" t="s">
        <v>325</v>
      </c>
      <c r="C100">
        <v>6.4</v>
      </c>
      <c r="D100">
        <v>93.6</v>
      </c>
      <c r="E100">
        <v>43.7</v>
      </c>
      <c r="F100">
        <v>32.774999999999999</v>
      </c>
      <c r="G100">
        <v>15.4</v>
      </c>
      <c r="H100">
        <v>16.3829787234043</v>
      </c>
      <c r="I100">
        <v>11.704000000000001</v>
      </c>
      <c r="J100">
        <v>1</v>
      </c>
      <c r="K100">
        <v>6.84</v>
      </c>
      <c r="N100">
        <v>36</v>
      </c>
      <c r="S100">
        <v>1112.5992734225599</v>
      </c>
      <c r="T100">
        <v>2452.8202676864198</v>
      </c>
      <c r="U100">
        <v>2452.8202676864198</v>
      </c>
      <c r="V100">
        <v>2452.8202676864198</v>
      </c>
      <c r="W100">
        <v>2452.8202676864198</v>
      </c>
      <c r="X100">
        <v>12.6</v>
      </c>
      <c r="Y100">
        <v>12.6</v>
      </c>
      <c r="Z100">
        <v>6.0119999999999996</v>
      </c>
      <c r="AA100">
        <v>6.0119999999999996</v>
      </c>
      <c r="AB100">
        <v>2.004</v>
      </c>
      <c r="AC100">
        <v>6.0119999999999996</v>
      </c>
      <c r="AD100">
        <v>3.7274400000000001</v>
      </c>
      <c r="AF100">
        <v>1800</v>
      </c>
      <c r="AG100">
        <v>1.3732660781841199</v>
      </c>
      <c r="AI100">
        <v>0.63</v>
      </c>
      <c r="AJ100">
        <v>0.69</v>
      </c>
      <c r="AK100">
        <v>0.65</v>
      </c>
      <c r="AL100">
        <v>245.74300382274799</v>
      </c>
      <c r="AM100">
        <v>1680.56056442165</v>
      </c>
      <c r="AN100">
        <v>2.1150799999999998</v>
      </c>
      <c r="AO100">
        <v>1.480556</v>
      </c>
      <c r="AP100">
        <v>0.56372999999999995</v>
      </c>
      <c r="AQ100">
        <v>0.40588560000000001</v>
      </c>
      <c r="AR100">
        <v>0.34522999999999998</v>
      </c>
      <c r="AS100">
        <v>0.10356899999999999</v>
      </c>
      <c r="AT100">
        <v>0.90895999999999999</v>
      </c>
      <c r="AU100">
        <v>0.50945459999999998</v>
      </c>
      <c r="AV100">
        <v>1.2635000000000001</v>
      </c>
      <c r="AW100">
        <v>0.82317689999999999</v>
      </c>
      <c r="AX100">
        <v>0.24035000000000001</v>
      </c>
      <c r="AY100">
        <v>0.15142050000000001</v>
      </c>
      <c r="AZ100">
        <v>1.0845</v>
      </c>
      <c r="BA100">
        <v>0.79839899999999997</v>
      </c>
      <c r="BB100">
        <v>2.2991000000000001</v>
      </c>
      <c r="BC100">
        <v>1.7716417</v>
      </c>
      <c r="BD100">
        <v>1.6487000000000001</v>
      </c>
      <c r="BE100">
        <v>1.2236</v>
      </c>
      <c r="BF100">
        <v>0.71667999999999998</v>
      </c>
      <c r="BG100">
        <v>0.50884280000000004</v>
      </c>
      <c r="BH100">
        <v>3.0543</v>
      </c>
      <c r="BI100">
        <v>2.2783432000000001</v>
      </c>
      <c r="BJ100">
        <v>1.3061</v>
      </c>
      <c r="BK100">
        <v>0.98976129999999996</v>
      </c>
      <c r="BL100">
        <v>1.1230899999999999</v>
      </c>
      <c r="BM100">
        <v>0.90970289999999998</v>
      </c>
      <c r="BN100">
        <v>1.6474899999999999</v>
      </c>
      <c r="BO100">
        <v>1.0873434</v>
      </c>
      <c r="BP100">
        <v>6.2154509999999998</v>
      </c>
      <c r="BQ100">
        <v>4.4129702100000001</v>
      </c>
      <c r="BR100">
        <v>4.8787000000000003</v>
      </c>
      <c r="BS100">
        <v>3.471965</v>
      </c>
      <c r="BT100">
        <v>3.7713100000000002</v>
      </c>
      <c r="BU100">
        <v>2.7153432</v>
      </c>
      <c r="BV100">
        <v>2.9401999999999999</v>
      </c>
      <c r="BW100">
        <v>1.5906800000000001</v>
      </c>
      <c r="BX100">
        <v>2.5171199999999998</v>
      </c>
      <c r="BY100">
        <v>1.8994641999999999</v>
      </c>
      <c r="BZ100">
        <v>7.8629410000000002</v>
      </c>
      <c r="CA100">
        <v>5.5003136100000001</v>
      </c>
      <c r="CB100">
        <v>3.29061</v>
      </c>
      <c r="CC100">
        <v>2.4679574999999998</v>
      </c>
      <c r="CD100">
        <v>1.38272340425532</v>
      </c>
      <c r="CE100">
        <v>1996</v>
      </c>
      <c r="CF100">
        <v>1996</v>
      </c>
    </row>
    <row r="101" spans="1:84" x14ac:dyDescent="0.3">
      <c r="A101">
        <v>25200</v>
      </c>
      <c r="B101" t="s">
        <v>326</v>
      </c>
      <c r="C101">
        <v>5</v>
      </c>
      <c r="D101">
        <v>95</v>
      </c>
      <c r="E101">
        <v>51</v>
      </c>
      <c r="F101">
        <v>40.799999999999997</v>
      </c>
      <c r="G101">
        <v>12</v>
      </c>
      <c r="H101">
        <v>12.7659574468085</v>
      </c>
      <c r="I101">
        <v>9.1199999999999992</v>
      </c>
      <c r="J101">
        <v>1</v>
      </c>
      <c r="K101">
        <v>6.84</v>
      </c>
      <c r="N101">
        <v>25</v>
      </c>
      <c r="O101">
        <v>6</v>
      </c>
      <c r="S101">
        <v>1270.00411089866</v>
      </c>
      <c r="T101">
        <v>2799.8326959847</v>
      </c>
      <c r="U101">
        <v>2799.8326959847</v>
      </c>
      <c r="V101">
        <v>2799.8326959847</v>
      </c>
      <c r="W101">
        <v>2799.8326959847</v>
      </c>
      <c r="X101">
        <v>7.9625000000000004</v>
      </c>
      <c r="Y101">
        <v>7.9625000000000004</v>
      </c>
      <c r="Z101">
        <v>3.875</v>
      </c>
      <c r="AA101">
        <v>3.875</v>
      </c>
      <c r="AB101">
        <v>1.2916666666666701</v>
      </c>
      <c r="AC101">
        <v>3.875</v>
      </c>
      <c r="AD101">
        <v>2.4056000000000002</v>
      </c>
      <c r="AF101">
        <v>1400</v>
      </c>
      <c r="AG101">
        <v>1.82072299285414</v>
      </c>
      <c r="AI101">
        <v>0.8</v>
      </c>
      <c r="AJ101">
        <v>0.97</v>
      </c>
      <c r="AK101">
        <v>0.56999999999999995</v>
      </c>
      <c r="AL101">
        <v>220.27657871567499</v>
      </c>
      <c r="AM101">
        <v>1029.41385059497</v>
      </c>
      <c r="AN101">
        <v>2.8330000000000002</v>
      </c>
      <c r="AO101">
        <v>1.9247399999999999</v>
      </c>
      <c r="AP101">
        <v>0.77500000000000002</v>
      </c>
      <c r="AQ101">
        <v>0.54677100000000001</v>
      </c>
      <c r="AR101">
        <v>0.41399999999999998</v>
      </c>
      <c r="AS101">
        <v>0.11423999999999999</v>
      </c>
      <c r="AT101">
        <v>1.1890000000000001</v>
      </c>
      <c r="AU101">
        <v>0.66101100000000002</v>
      </c>
      <c r="AV101">
        <v>1.704</v>
      </c>
      <c r="AW101">
        <v>1.0371360000000001</v>
      </c>
      <c r="AX101">
        <v>0.41310000000000002</v>
      </c>
      <c r="AY101">
        <v>0.22720499999999999</v>
      </c>
      <c r="AZ101">
        <v>3.173</v>
      </c>
      <c r="BA101">
        <v>1.066257</v>
      </c>
      <c r="BB101">
        <v>3.173</v>
      </c>
      <c r="BC101">
        <v>2.2062599999999999</v>
      </c>
      <c r="BD101">
        <v>2.1520000000000001</v>
      </c>
      <c r="BE101">
        <v>1.5096510000000001</v>
      </c>
      <c r="BF101">
        <v>0.98099999999999998</v>
      </c>
      <c r="BG101">
        <v>0.69257999999999997</v>
      </c>
      <c r="BH101">
        <v>3.339</v>
      </c>
      <c r="BI101">
        <v>2.542656</v>
      </c>
      <c r="BJ101">
        <v>1.766</v>
      </c>
      <c r="BK101">
        <v>1.2423599999999999</v>
      </c>
      <c r="BL101">
        <v>1.0659000000000001</v>
      </c>
      <c r="BN101">
        <v>1.925</v>
      </c>
      <c r="BP101">
        <v>5.9516999999999998</v>
      </c>
      <c r="BR101">
        <v>6.2119999999999997</v>
      </c>
      <c r="BT101">
        <v>3.9239999999999999</v>
      </c>
      <c r="BV101">
        <v>3.915</v>
      </c>
      <c r="BX101">
        <v>2.8407</v>
      </c>
      <c r="BY101">
        <v>1.2423599999999999</v>
      </c>
      <c r="BZ101">
        <v>7.8489000000000004</v>
      </c>
      <c r="CB101">
        <v>3.5291999999999999</v>
      </c>
      <c r="CD101">
        <v>1.0774468085106399</v>
      </c>
      <c r="CE101">
        <v>1996</v>
      </c>
      <c r="CF101">
        <v>1996</v>
      </c>
    </row>
    <row r="102" spans="1:84" x14ac:dyDescent="0.3">
      <c r="A102">
        <v>25250</v>
      </c>
      <c r="B102" t="s">
        <v>327</v>
      </c>
      <c r="C102">
        <v>7</v>
      </c>
      <c r="D102">
        <v>93</v>
      </c>
      <c r="E102">
        <v>83.9</v>
      </c>
      <c r="F102">
        <v>64.602999999999994</v>
      </c>
      <c r="G102">
        <v>6</v>
      </c>
      <c r="H102">
        <v>6.4516129032258096</v>
      </c>
      <c r="I102">
        <v>3.6</v>
      </c>
      <c r="J102">
        <v>1</v>
      </c>
      <c r="K102">
        <v>6.84</v>
      </c>
      <c r="N102">
        <v>2.2000000000000002</v>
      </c>
      <c r="S102">
        <v>1419.9837418738</v>
      </c>
      <c r="T102">
        <v>3130.4756214149102</v>
      </c>
      <c r="U102">
        <v>3130.4756214149102</v>
      </c>
      <c r="V102">
        <v>3130.4756214149102</v>
      </c>
      <c r="W102">
        <v>3130.4756214149102</v>
      </c>
      <c r="X102">
        <v>0.22989999999999999</v>
      </c>
      <c r="Y102">
        <v>0.22989999999999999</v>
      </c>
      <c r="Z102">
        <v>0.59994000000000003</v>
      </c>
      <c r="AA102">
        <v>0.59994000000000003</v>
      </c>
      <c r="AB102">
        <v>0.19997999999999999</v>
      </c>
      <c r="AC102">
        <v>0.59994000000000003</v>
      </c>
      <c r="AD102">
        <v>0.389961</v>
      </c>
      <c r="AF102">
        <v>900</v>
      </c>
      <c r="AG102">
        <v>0.64901218999579502</v>
      </c>
      <c r="AI102">
        <v>0.34</v>
      </c>
      <c r="AJ102">
        <v>0.26</v>
      </c>
      <c r="AK102">
        <v>0.19</v>
      </c>
      <c r="AL102">
        <v>123.202871924162</v>
      </c>
      <c r="AM102">
        <v>-830.93259395535495</v>
      </c>
      <c r="AN102">
        <v>2.2401300000000002</v>
      </c>
      <c r="AO102">
        <v>1.2544728000000001</v>
      </c>
      <c r="AP102">
        <v>0.61246999999999996</v>
      </c>
      <c r="AQ102">
        <v>0.38585609999999998</v>
      </c>
      <c r="AR102">
        <v>3.70838</v>
      </c>
      <c r="AS102">
        <v>1.668771</v>
      </c>
      <c r="AT102">
        <v>4.3208500000000001</v>
      </c>
      <c r="AU102">
        <v>2.0546270999999998</v>
      </c>
      <c r="AV102">
        <v>3.8216999999999999</v>
      </c>
      <c r="AW102">
        <v>2.0704842000000001</v>
      </c>
      <c r="AX102">
        <v>0.65442</v>
      </c>
      <c r="AY102">
        <v>0.3533868</v>
      </c>
      <c r="AZ102">
        <v>3.8889999999999998</v>
      </c>
      <c r="BA102">
        <v>2.8479855000000001</v>
      </c>
      <c r="BB102">
        <v>6.9690000000000003</v>
      </c>
      <c r="BC102">
        <v>4.7010848000000003</v>
      </c>
      <c r="BD102">
        <v>6.0242000000000004</v>
      </c>
      <c r="BE102">
        <v>4.0906283999999999</v>
      </c>
      <c r="BF102">
        <v>0.98163</v>
      </c>
      <c r="BG102">
        <v>0.5693454</v>
      </c>
      <c r="BH102">
        <v>5.6380800000000004</v>
      </c>
      <c r="BI102">
        <v>3.8338944000000001</v>
      </c>
      <c r="BJ102">
        <v>4.0656999999999996</v>
      </c>
      <c r="BK102">
        <v>2.8077135000000002</v>
      </c>
      <c r="BL102">
        <v>2.6680199999999998</v>
      </c>
      <c r="BM102">
        <v>2.1610961999999998</v>
      </c>
      <c r="BN102">
        <v>8.7004300000000008</v>
      </c>
      <c r="BO102">
        <v>5.6552794999999998</v>
      </c>
      <c r="BP102">
        <v>6.32606</v>
      </c>
      <c r="BQ102">
        <v>4.3017208</v>
      </c>
      <c r="BR102">
        <v>8.7605000000000004</v>
      </c>
      <c r="BS102">
        <v>5.3789129000000004</v>
      </c>
      <c r="BT102">
        <v>7.7943100000000003</v>
      </c>
      <c r="BU102">
        <v>4.5986428999999998</v>
      </c>
      <c r="BV102">
        <v>5.7404000000000002</v>
      </c>
      <c r="BW102">
        <v>2.3089279999999999</v>
      </c>
      <c r="BX102">
        <v>6.7371699999999999</v>
      </c>
      <c r="BY102">
        <v>4.9688097000000004</v>
      </c>
      <c r="BZ102">
        <v>15.026490000000001</v>
      </c>
      <c r="CA102">
        <v>9.9570003000000007</v>
      </c>
      <c r="CB102">
        <v>4.0691499999999996</v>
      </c>
      <c r="CC102">
        <v>2.7263305</v>
      </c>
      <c r="CD102">
        <v>0.83870967741935498</v>
      </c>
      <c r="CE102">
        <v>890</v>
      </c>
      <c r="CF102">
        <v>890</v>
      </c>
    </row>
    <row r="103" spans="1:84" x14ac:dyDescent="0.3">
      <c r="A103">
        <v>25300</v>
      </c>
      <c r="B103" t="s">
        <v>328</v>
      </c>
      <c r="C103">
        <v>9</v>
      </c>
      <c r="D103">
        <v>91</v>
      </c>
      <c r="E103">
        <v>82</v>
      </c>
      <c r="F103">
        <v>68.88</v>
      </c>
      <c r="G103">
        <v>4.22</v>
      </c>
      <c r="H103">
        <v>4.9647058823529404</v>
      </c>
      <c r="I103">
        <v>3.0384000000000002</v>
      </c>
      <c r="J103">
        <v>1</v>
      </c>
      <c r="K103">
        <v>6.84</v>
      </c>
      <c r="N103">
        <v>2.5</v>
      </c>
      <c r="O103">
        <v>1.28</v>
      </c>
      <c r="X103">
        <v>0.2</v>
      </c>
      <c r="Y103">
        <v>0.2</v>
      </c>
      <c r="Z103">
        <v>0.6</v>
      </c>
      <c r="AA103">
        <v>0.6</v>
      </c>
      <c r="AB103">
        <v>0.2</v>
      </c>
      <c r="AC103">
        <v>0.6</v>
      </c>
      <c r="AD103">
        <v>0.39</v>
      </c>
      <c r="AF103">
        <v>800</v>
      </c>
      <c r="AG103">
        <v>0.70029424127784501</v>
      </c>
      <c r="AI103">
        <v>0.38</v>
      </c>
      <c r="AJ103">
        <v>0.26</v>
      </c>
      <c r="AK103">
        <v>0.19</v>
      </c>
      <c r="AL103">
        <v>140.60931230710401</v>
      </c>
      <c r="AM103">
        <v>-722.62851488141405</v>
      </c>
      <c r="AN103">
        <v>3.3128000000000002</v>
      </c>
      <c r="AO103">
        <v>2.3520880000000002</v>
      </c>
      <c r="AP103">
        <v>1.0085999999999999</v>
      </c>
      <c r="AQ103">
        <v>0.77662200000000003</v>
      </c>
      <c r="AR103">
        <v>3.1619999999999999</v>
      </c>
      <c r="AS103">
        <v>1.5842400000000001</v>
      </c>
      <c r="AT103">
        <v>3.9910000000000001</v>
      </c>
      <c r="AU103">
        <v>2.360862</v>
      </c>
      <c r="AV103">
        <v>3.7589999999999999</v>
      </c>
      <c r="AW103">
        <v>1.99752</v>
      </c>
      <c r="AX103">
        <v>0.75439999999999996</v>
      </c>
      <c r="AY103">
        <v>0.58843199999999996</v>
      </c>
      <c r="AZ103">
        <v>3.7629999999999999</v>
      </c>
      <c r="BA103">
        <v>2.6506500000000002</v>
      </c>
      <c r="BB103">
        <v>6.7110000000000003</v>
      </c>
      <c r="BC103">
        <v>4.9122919999999999</v>
      </c>
      <c r="BD103">
        <v>6.7110000000000003</v>
      </c>
      <c r="BE103">
        <v>3.7318199999999999</v>
      </c>
      <c r="BF103">
        <v>1.2709999999999999</v>
      </c>
      <c r="BG103">
        <v>0.94054000000000004</v>
      </c>
      <c r="BH103">
        <v>5.3949999999999996</v>
      </c>
      <c r="BI103">
        <v>4.1653539999999998</v>
      </c>
      <c r="BJ103">
        <v>3.8839999999999999</v>
      </c>
      <c r="BK103">
        <v>2.8160440000000002</v>
      </c>
      <c r="BN103">
        <v>7.452</v>
      </c>
      <c r="BP103">
        <v>6.2720000000000002</v>
      </c>
      <c r="BR103">
        <v>8.9149999999999991</v>
      </c>
      <c r="BT103">
        <v>7.2249999999999996</v>
      </c>
      <c r="BV103">
        <v>5.8970000000000002</v>
      </c>
      <c r="BX103">
        <v>3.6572</v>
      </c>
      <c r="BY103">
        <v>2.8160440000000002</v>
      </c>
      <c r="BZ103">
        <v>12.578799999999999</v>
      </c>
      <c r="CB103">
        <v>4.4116</v>
      </c>
      <c r="CE103">
        <v>870</v>
      </c>
      <c r="CF103">
        <v>870</v>
      </c>
    </row>
    <row r="104" spans="1:84" x14ac:dyDescent="0.3">
      <c r="A104">
        <v>25350</v>
      </c>
      <c r="B104" t="s">
        <v>329</v>
      </c>
      <c r="C104">
        <v>8</v>
      </c>
      <c r="D104">
        <v>92</v>
      </c>
      <c r="E104">
        <v>68</v>
      </c>
      <c r="F104">
        <v>54.4</v>
      </c>
      <c r="G104">
        <v>13</v>
      </c>
      <c r="H104">
        <v>15.294117647058799</v>
      </c>
      <c r="I104">
        <v>10.66</v>
      </c>
      <c r="K104">
        <v>6.84</v>
      </c>
      <c r="N104">
        <v>12</v>
      </c>
      <c r="X104">
        <v>2.52</v>
      </c>
      <c r="Y104">
        <v>2.52</v>
      </c>
      <c r="Z104">
        <v>1.08</v>
      </c>
      <c r="AA104">
        <v>1.08</v>
      </c>
      <c r="AB104">
        <v>0.36</v>
      </c>
      <c r="AC104">
        <v>1.08</v>
      </c>
      <c r="AD104">
        <v>0.70199999999999996</v>
      </c>
      <c r="AF104">
        <v>1200</v>
      </c>
      <c r="AG104">
        <v>0.83039092055485497</v>
      </c>
      <c r="AI104">
        <v>0.36</v>
      </c>
      <c r="AJ104">
        <v>0.45</v>
      </c>
      <c r="AK104">
        <v>0.45</v>
      </c>
      <c r="AL104">
        <v>144.80223968353999</v>
      </c>
      <c r="AM104">
        <v>349.14272000817499</v>
      </c>
      <c r="AN104">
        <v>2.7471999999999999</v>
      </c>
      <c r="AO104">
        <v>1.950512</v>
      </c>
      <c r="AP104">
        <v>0.75</v>
      </c>
      <c r="AQ104">
        <v>0.64402800000000004</v>
      </c>
      <c r="AR104">
        <v>2.5129999999999999</v>
      </c>
      <c r="AS104">
        <v>1.31376</v>
      </c>
      <c r="AT104">
        <v>3.2629999999999999</v>
      </c>
      <c r="AU104">
        <v>1.9577880000000001</v>
      </c>
      <c r="AV104">
        <v>3.0590000000000002</v>
      </c>
      <c r="AW104">
        <v>1.65648</v>
      </c>
      <c r="AX104">
        <v>0.60119999999999996</v>
      </c>
      <c r="AY104">
        <v>0.48796800000000001</v>
      </c>
      <c r="AZ104">
        <v>3.0489999999999999</v>
      </c>
      <c r="BA104">
        <v>2.1981000000000002</v>
      </c>
      <c r="BB104">
        <v>5.4370000000000003</v>
      </c>
      <c r="BC104">
        <v>4.0736080000000001</v>
      </c>
      <c r="BD104">
        <v>5.4370000000000003</v>
      </c>
      <c r="BE104">
        <v>3.0946799999999999</v>
      </c>
      <c r="BF104">
        <v>1.054</v>
      </c>
      <c r="BG104">
        <v>0.77995999999999999</v>
      </c>
      <c r="BH104">
        <v>4.415</v>
      </c>
      <c r="BI104">
        <v>3.454196</v>
      </c>
      <c r="BJ104">
        <v>3.1280000000000001</v>
      </c>
      <c r="BK104">
        <v>2.3352560000000002</v>
      </c>
      <c r="BN104">
        <v>5.758</v>
      </c>
      <c r="BP104">
        <v>5.2220000000000004</v>
      </c>
      <c r="BR104">
        <v>7.5149999999999997</v>
      </c>
      <c r="BT104">
        <v>5.6989999999999998</v>
      </c>
      <c r="BV104">
        <v>4.9589999999999996</v>
      </c>
      <c r="BX104">
        <v>3.0327999999999999</v>
      </c>
      <c r="BY104">
        <v>2.3352560000000002</v>
      </c>
      <c r="BZ104">
        <v>10.4312</v>
      </c>
      <c r="CB104">
        <v>3.6583999999999999</v>
      </c>
      <c r="CE104">
        <v>5300</v>
      </c>
      <c r="CF104">
        <v>5300</v>
      </c>
    </row>
    <row r="105" spans="1:84" x14ac:dyDescent="0.3">
      <c r="A105">
        <v>25400</v>
      </c>
      <c r="B105" t="s">
        <v>330</v>
      </c>
      <c r="C105">
        <v>8.6</v>
      </c>
      <c r="D105">
        <v>91.4</v>
      </c>
      <c r="E105">
        <v>86.3</v>
      </c>
      <c r="F105">
        <v>63.862000000000002</v>
      </c>
      <c r="G105">
        <v>0.8</v>
      </c>
      <c r="H105">
        <v>1.02564102564103</v>
      </c>
      <c r="I105">
        <v>0.64</v>
      </c>
      <c r="K105">
        <v>6.84</v>
      </c>
      <c r="N105">
        <v>3.7</v>
      </c>
      <c r="O105">
        <v>0.60000000000000897</v>
      </c>
      <c r="S105">
        <v>1269.9867648183499</v>
      </c>
      <c r="T105">
        <v>2799.7944550669199</v>
      </c>
      <c r="U105">
        <v>2799.7944550669199</v>
      </c>
      <c r="V105">
        <v>2799.7944550669199</v>
      </c>
      <c r="W105">
        <v>2799.7944550669199</v>
      </c>
      <c r="X105">
        <v>0.24013000000000001</v>
      </c>
      <c r="Y105">
        <v>0.24013000000000001</v>
      </c>
      <c r="Z105">
        <v>0.21016000000000001</v>
      </c>
      <c r="AA105">
        <v>0.21016000000000001</v>
      </c>
      <c r="AB105" s="9">
        <v>7.0053333333333301E-2</v>
      </c>
      <c r="AC105">
        <v>0.21016000000000001</v>
      </c>
      <c r="AD105">
        <v>0.16012090400000001</v>
      </c>
      <c r="AF105">
        <v>750</v>
      </c>
      <c r="AG105">
        <v>0.68327028163093995</v>
      </c>
      <c r="AI105">
        <v>0.28999999999999998</v>
      </c>
      <c r="AJ105">
        <v>0.38</v>
      </c>
      <c r="AK105">
        <v>0.14000000000000001</v>
      </c>
      <c r="AL105">
        <v>54.807258077348997</v>
      </c>
      <c r="AM105">
        <v>-79.642863420300998</v>
      </c>
      <c r="AN105">
        <v>7.5218999999999996</v>
      </c>
      <c r="AO105">
        <v>6.5979802000000003</v>
      </c>
      <c r="AP105">
        <v>1.01834</v>
      </c>
      <c r="AQ105">
        <v>0.9266894</v>
      </c>
      <c r="AR105">
        <v>0.88026000000000004</v>
      </c>
      <c r="AS105">
        <v>0.66899759999999997</v>
      </c>
      <c r="AT105">
        <v>1.8986000000000001</v>
      </c>
      <c r="AU105">
        <v>1.5956870000000001</v>
      </c>
      <c r="AV105">
        <v>3.9093900000000001</v>
      </c>
      <c r="AW105">
        <v>3.4402632</v>
      </c>
      <c r="AX105">
        <v>1.429</v>
      </c>
      <c r="AY105">
        <v>1.2396995</v>
      </c>
      <c r="AZ105">
        <v>1.50162</v>
      </c>
      <c r="BA105">
        <v>1.1712636000000001</v>
      </c>
      <c r="BB105">
        <v>10.424300000000001</v>
      </c>
      <c r="BC105">
        <v>9.429138</v>
      </c>
      <c r="BD105">
        <v>6.8643000000000001</v>
      </c>
      <c r="BE105">
        <v>6.0451423999999996</v>
      </c>
      <c r="BF105">
        <v>5.1317000000000004</v>
      </c>
      <c r="BG105">
        <v>4.3277723999999997</v>
      </c>
      <c r="BH105">
        <v>3.8403499999999999</v>
      </c>
      <c r="BI105">
        <v>3.3411045000000001</v>
      </c>
      <c r="BJ105">
        <v>5.7744999999999997</v>
      </c>
      <c r="BK105">
        <v>5.1641919999999999</v>
      </c>
      <c r="BL105">
        <v>1.83819</v>
      </c>
      <c r="BN105">
        <v>4.1424000000000003</v>
      </c>
      <c r="BP105">
        <v>3.5814499999999998</v>
      </c>
      <c r="BR105">
        <v>7.8791900000000004</v>
      </c>
      <c r="BT105">
        <v>3.31392</v>
      </c>
      <c r="BV105">
        <v>8.9156999999999993</v>
      </c>
      <c r="BX105">
        <v>7.7065900000000003</v>
      </c>
      <c r="BY105">
        <v>5.1641919999999999</v>
      </c>
      <c r="BZ105">
        <v>7.7238499999999997</v>
      </c>
      <c r="CB105">
        <v>6.6364700000000001</v>
      </c>
      <c r="CE105">
        <v>852</v>
      </c>
      <c r="CF105">
        <v>852</v>
      </c>
    </row>
    <row r="106" spans="1:84" x14ac:dyDescent="0.3">
      <c r="A106">
        <v>25410</v>
      </c>
      <c r="B106" t="s">
        <v>331</v>
      </c>
      <c r="C106">
        <v>8.6</v>
      </c>
      <c r="D106">
        <v>91.4</v>
      </c>
      <c r="E106">
        <v>86.3</v>
      </c>
      <c r="F106">
        <v>63.862000000000002</v>
      </c>
      <c r="G106">
        <v>0.8</v>
      </c>
      <c r="H106">
        <v>1.02564102564103</v>
      </c>
      <c r="I106">
        <v>0.64</v>
      </c>
      <c r="K106">
        <v>6.84</v>
      </c>
      <c r="N106">
        <v>3.7</v>
      </c>
      <c r="O106">
        <v>0.60000000000000897</v>
      </c>
      <c r="S106">
        <v>1269.9867648183499</v>
      </c>
      <c r="T106">
        <v>2799.7944550669199</v>
      </c>
      <c r="U106">
        <v>2799.7944550669199</v>
      </c>
      <c r="V106">
        <v>2799.7944550669199</v>
      </c>
      <c r="W106">
        <v>2799.7944550669199</v>
      </c>
      <c r="X106">
        <v>0.24013000000000001</v>
      </c>
      <c r="Y106">
        <v>0.24013000000000001</v>
      </c>
      <c r="Z106">
        <v>0.21016000000000001</v>
      </c>
      <c r="AA106">
        <v>0.21016000000000001</v>
      </c>
      <c r="AB106">
        <v>0.18012813599999999</v>
      </c>
      <c r="AC106">
        <v>0.21016000000000001</v>
      </c>
      <c r="AD106">
        <v>0.16012090400000001</v>
      </c>
      <c r="AF106">
        <v>750</v>
      </c>
      <c r="AG106">
        <v>0.88692728036989998</v>
      </c>
      <c r="AI106">
        <v>0.5</v>
      </c>
      <c r="AJ106">
        <v>0.3</v>
      </c>
      <c r="AK106">
        <v>0.11</v>
      </c>
      <c r="AL106">
        <v>161.08582402741899</v>
      </c>
      <c r="AM106">
        <v>-75.136394346624996</v>
      </c>
      <c r="AN106">
        <v>7.5218999999999996</v>
      </c>
      <c r="AO106">
        <v>6.5979802000000003</v>
      </c>
      <c r="AP106">
        <v>1.01834</v>
      </c>
      <c r="AQ106">
        <v>0.9266894</v>
      </c>
      <c r="AR106">
        <v>0.88026000000000004</v>
      </c>
      <c r="AS106">
        <v>0.66899759999999997</v>
      </c>
      <c r="AT106">
        <v>1.8986000000000001</v>
      </c>
      <c r="AU106">
        <v>1.5956870000000001</v>
      </c>
      <c r="AV106">
        <v>3.9093900000000001</v>
      </c>
      <c r="AW106">
        <v>3.4402632</v>
      </c>
      <c r="AX106">
        <v>1.429</v>
      </c>
      <c r="AY106">
        <v>1.2396995</v>
      </c>
      <c r="AZ106">
        <v>1.50162</v>
      </c>
      <c r="BA106">
        <v>1.1712636000000001</v>
      </c>
      <c r="BB106">
        <v>10.424300000000001</v>
      </c>
      <c r="BC106">
        <v>9.429138</v>
      </c>
      <c r="BD106">
        <v>6.8643000000000001</v>
      </c>
      <c r="BE106">
        <v>6.0451423999999996</v>
      </c>
      <c r="BF106">
        <v>5.1317000000000004</v>
      </c>
      <c r="BG106">
        <v>4.3277723999999997</v>
      </c>
      <c r="BH106">
        <v>3.8403499999999999</v>
      </c>
      <c r="BI106">
        <v>3.3411045000000001</v>
      </c>
      <c r="BJ106">
        <v>5.7744999999999997</v>
      </c>
      <c r="BK106">
        <v>5.1641919999999999</v>
      </c>
      <c r="BL106">
        <v>1.83819</v>
      </c>
      <c r="BN106">
        <v>4.1424000000000003</v>
      </c>
      <c r="BP106">
        <v>3.5814499999999998</v>
      </c>
      <c r="BR106">
        <v>7.8791900000000004</v>
      </c>
      <c r="BT106">
        <v>3.31392</v>
      </c>
      <c r="BV106">
        <v>8.9156999999999993</v>
      </c>
      <c r="BX106">
        <v>7.7065900000000003</v>
      </c>
      <c r="BY106">
        <v>5.1641919999999999</v>
      </c>
      <c r="BZ106">
        <v>7.7238499999999997</v>
      </c>
      <c r="CB106">
        <v>6.6364700000000001</v>
      </c>
      <c r="CE106">
        <v>852</v>
      </c>
      <c r="CF106">
        <v>852</v>
      </c>
    </row>
    <row r="107" spans="1:84" x14ac:dyDescent="0.3">
      <c r="A107">
        <v>25420</v>
      </c>
      <c r="B107" t="s">
        <v>332</v>
      </c>
      <c r="C107">
        <v>8.6</v>
      </c>
      <c r="D107">
        <v>91.4</v>
      </c>
      <c r="E107">
        <v>86.3</v>
      </c>
      <c r="F107">
        <v>63.862000000000002</v>
      </c>
      <c r="G107">
        <v>0.8</v>
      </c>
      <c r="H107">
        <v>1.02564102564103</v>
      </c>
      <c r="I107">
        <v>0.64</v>
      </c>
      <c r="K107">
        <v>6.84</v>
      </c>
      <c r="N107">
        <v>3.7</v>
      </c>
      <c r="O107">
        <v>0.60000000000000897</v>
      </c>
      <c r="S107">
        <v>1269.9867648183499</v>
      </c>
      <c r="T107">
        <v>2799.7944550669199</v>
      </c>
      <c r="U107">
        <v>2799.7944550669199</v>
      </c>
      <c r="V107">
        <v>2799.7944550669199</v>
      </c>
      <c r="W107">
        <v>2799.7944550669199</v>
      </c>
      <c r="X107">
        <v>0.24013000000000001</v>
      </c>
      <c r="Y107">
        <v>0.24013000000000001</v>
      </c>
      <c r="Z107">
        <v>0.21016000000000001</v>
      </c>
      <c r="AA107">
        <v>0.21016000000000001</v>
      </c>
      <c r="AB107" s="9">
        <v>7.0053333333333301E-2</v>
      </c>
      <c r="AC107">
        <v>0.21016000000000001</v>
      </c>
      <c r="AD107">
        <v>0.16012090400000001</v>
      </c>
      <c r="AF107">
        <v>700</v>
      </c>
      <c r="AG107">
        <v>0.88692728036989998</v>
      </c>
      <c r="AI107">
        <v>0.5</v>
      </c>
      <c r="AJ107">
        <v>0.3</v>
      </c>
      <c r="AK107">
        <v>0.11</v>
      </c>
      <c r="AL107">
        <v>161.08582402741899</v>
      </c>
      <c r="AM107">
        <v>8.1969389867080107</v>
      </c>
      <c r="AN107">
        <v>7.5218999999999996</v>
      </c>
      <c r="AO107">
        <v>6.5979802000000003</v>
      </c>
      <c r="AP107">
        <v>1.01834</v>
      </c>
      <c r="AQ107">
        <v>0.9266894</v>
      </c>
      <c r="AR107">
        <v>0.88026000000000004</v>
      </c>
      <c r="AS107">
        <v>0.66899759999999997</v>
      </c>
      <c r="AT107">
        <v>1.8986000000000001</v>
      </c>
      <c r="AU107">
        <v>1.5956870000000001</v>
      </c>
      <c r="AV107">
        <v>3.9093900000000001</v>
      </c>
      <c r="AW107">
        <v>3.4402632</v>
      </c>
      <c r="AX107">
        <v>1.429</v>
      </c>
      <c r="AY107">
        <v>1.2396995</v>
      </c>
      <c r="AZ107">
        <v>1.50162</v>
      </c>
      <c r="BA107">
        <v>1.1712636000000001</v>
      </c>
      <c r="BB107">
        <v>10.424300000000001</v>
      </c>
      <c r="BC107">
        <v>9.429138</v>
      </c>
      <c r="BD107">
        <v>6.8643000000000001</v>
      </c>
      <c r="BE107">
        <v>6.0451423999999996</v>
      </c>
      <c r="BF107">
        <v>5.1317000000000004</v>
      </c>
      <c r="BG107">
        <v>4.3277723999999997</v>
      </c>
      <c r="BH107">
        <v>3.8403499999999999</v>
      </c>
      <c r="BI107">
        <v>3.3411045000000001</v>
      </c>
      <c r="BJ107">
        <v>5.7744999999999997</v>
      </c>
      <c r="BK107">
        <v>5.1641919999999999</v>
      </c>
      <c r="BL107">
        <v>1.83819</v>
      </c>
      <c r="BN107">
        <v>4.1424000000000003</v>
      </c>
      <c r="BP107">
        <v>3.5814499999999998</v>
      </c>
      <c r="BR107">
        <v>7.8791900000000004</v>
      </c>
      <c r="BT107">
        <v>3.31392</v>
      </c>
      <c r="BV107">
        <v>8.9156999999999993</v>
      </c>
      <c r="BX107">
        <v>7.7065900000000003</v>
      </c>
      <c r="BY107">
        <v>5.1641919999999999</v>
      </c>
      <c r="BZ107">
        <v>7.7238499999999997</v>
      </c>
      <c r="CB107">
        <v>6.6364700000000001</v>
      </c>
      <c r="CE107">
        <v>852</v>
      </c>
      <c r="CF107">
        <v>852</v>
      </c>
    </row>
    <row r="108" spans="1:84" x14ac:dyDescent="0.3">
      <c r="A108">
        <v>25450</v>
      </c>
      <c r="B108" t="s">
        <v>333</v>
      </c>
      <c r="C108">
        <v>6</v>
      </c>
      <c r="D108">
        <v>94</v>
      </c>
      <c r="E108">
        <v>90.7</v>
      </c>
      <c r="F108">
        <v>72.56</v>
      </c>
      <c r="G108">
        <v>1.5</v>
      </c>
      <c r="H108">
        <v>1.92307692307692</v>
      </c>
      <c r="I108">
        <v>1.38</v>
      </c>
      <c r="K108">
        <v>6.84</v>
      </c>
      <c r="N108">
        <v>3.3</v>
      </c>
      <c r="S108">
        <v>1463.11043403442</v>
      </c>
      <c r="T108">
        <v>3225.5521032504798</v>
      </c>
      <c r="U108">
        <v>3225.5521032504798</v>
      </c>
      <c r="V108">
        <v>3225.5521032504798</v>
      </c>
      <c r="W108">
        <v>3225.5521032504798</v>
      </c>
      <c r="X108">
        <v>9.9000000000000008E-3</v>
      </c>
      <c r="Y108">
        <v>9.9000000000000008E-3</v>
      </c>
      <c r="Z108">
        <v>9.9989999999999996E-2</v>
      </c>
      <c r="AA108">
        <v>9.9989999999999996E-2</v>
      </c>
      <c r="AB108">
        <v>3.3329999999999999E-2</v>
      </c>
      <c r="AC108">
        <v>9.9989999999999996E-2</v>
      </c>
      <c r="AD108">
        <v>7.9991999999999994E-2</v>
      </c>
      <c r="AF108">
        <v>800</v>
      </c>
      <c r="AG108">
        <v>1.0714585960487599</v>
      </c>
      <c r="AI108">
        <v>0.57999999999999996</v>
      </c>
      <c r="AJ108">
        <v>0.4</v>
      </c>
      <c r="AK108">
        <v>0.62</v>
      </c>
      <c r="AL108">
        <v>298.11807117650397</v>
      </c>
      <c r="AM108">
        <v>48.313418628642999</v>
      </c>
      <c r="AN108">
        <v>8.1267200000000006</v>
      </c>
      <c r="AO108">
        <v>6.9889792000000002</v>
      </c>
      <c r="AP108">
        <v>0.88885999999999998</v>
      </c>
      <c r="AQ108">
        <v>0.80886259999999999</v>
      </c>
      <c r="AR108">
        <v>0.50792000000000004</v>
      </c>
      <c r="AS108">
        <v>0.38601920000000001</v>
      </c>
      <c r="AT108">
        <v>1.3967799999999999</v>
      </c>
      <c r="AU108">
        <v>1.1948818000000001</v>
      </c>
      <c r="AV108">
        <v>3.3286899999999999</v>
      </c>
      <c r="AW108">
        <v>2.9292471999999998</v>
      </c>
      <c r="AX108">
        <v>1.34236</v>
      </c>
      <c r="AY108">
        <v>1.141006</v>
      </c>
      <c r="AZ108">
        <v>0.67118</v>
      </c>
      <c r="BA108">
        <v>0.5235204</v>
      </c>
      <c r="BB108">
        <v>12.208220000000001</v>
      </c>
      <c r="BC108">
        <v>10.987398000000001</v>
      </c>
      <c r="BD108">
        <v>8.1630000000000003</v>
      </c>
      <c r="BE108">
        <v>7.18344</v>
      </c>
      <c r="BF108">
        <v>6.3036500000000002</v>
      </c>
      <c r="BG108">
        <v>5.2950660000000003</v>
      </c>
      <c r="BH108">
        <v>3.45567</v>
      </c>
      <c r="BI108">
        <v>3.0064329000000001</v>
      </c>
      <c r="BJ108">
        <v>6.5122600000000004</v>
      </c>
      <c r="BK108">
        <v>5.7307888</v>
      </c>
      <c r="BL108">
        <v>2.04982</v>
      </c>
      <c r="BN108">
        <v>4.2175500000000001</v>
      </c>
      <c r="BP108">
        <v>4.1994100000000003</v>
      </c>
      <c r="BR108">
        <v>7.1199500000000002</v>
      </c>
      <c r="BT108">
        <v>3.1926399999999999</v>
      </c>
      <c r="BV108">
        <v>9.9770000000000003</v>
      </c>
      <c r="BX108">
        <v>8.5620799999999999</v>
      </c>
      <c r="BY108">
        <v>5.7307888</v>
      </c>
      <c r="BZ108">
        <v>8.4169599999999996</v>
      </c>
      <c r="CB108">
        <v>7.5099600000000004</v>
      </c>
      <c r="CE108">
        <v>350</v>
      </c>
      <c r="CF108">
        <v>350</v>
      </c>
    </row>
    <row r="109" spans="1:84" x14ac:dyDescent="0.3">
      <c r="A109">
        <v>25451</v>
      </c>
      <c r="B109" t="s">
        <v>334</v>
      </c>
      <c r="C109">
        <v>6</v>
      </c>
      <c r="D109">
        <v>94</v>
      </c>
      <c r="E109">
        <v>92</v>
      </c>
      <c r="F109">
        <v>73.599999999999994</v>
      </c>
      <c r="G109">
        <v>1.5</v>
      </c>
      <c r="H109">
        <v>1.92307692307692</v>
      </c>
      <c r="I109">
        <v>1.38</v>
      </c>
      <c r="K109">
        <v>6.84</v>
      </c>
      <c r="N109">
        <v>3.3</v>
      </c>
      <c r="S109">
        <v>1483.4476290631001</v>
      </c>
      <c r="T109">
        <v>3270.3871892925399</v>
      </c>
      <c r="U109">
        <v>3270.3871892925399</v>
      </c>
      <c r="V109">
        <v>3270.3871892925399</v>
      </c>
      <c r="W109">
        <v>3270.3871892925399</v>
      </c>
      <c r="X109">
        <v>9.9000000000000008E-3</v>
      </c>
      <c r="Y109">
        <v>9.9000000000000008E-3</v>
      </c>
      <c r="Z109">
        <v>9.9989999999999996E-2</v>
      </c>
      <c r="AA109">
        <v>9.9989999999999996E-2</v>
      </c>
      <c r="AB109">
        <v>3.3329999999999999E-2</v>
      </c>
      <c r="AC109">
        <v>9.9989999999999996E-2</v>
      </c>
      <c r="AD109">
        <v>7.9991999999999994E-2</v>
      </c>
      <c r="AF109">
        <v>800</v>
      </c>
      <c r="AG109">
        <v>1.0714585960487599</v>
      </c>
      <c r="AI109">
        <v>0.57999999999999996</v>
      </c>
      <c r="AJ109">
        <v>0.4</v>
      </c>
      <c r="AK109">
        <v>0.62</v>
      </c>
      <c r="AL109">
        <v>298.11807117650397</v>
      </c>
      <c r="AM109">
        <v>48.313418628642999</v>
      </c>
      <c r="AN109">
        <v>8.2431999999999999</v>
      </c>
      <c r="AO109">
        <v>7.0891520000000003</v>
      </c>
      <c r="AP109">
        <v>0.90159999999999996</v>
      </c>
      <c r="AQ109">
        <v>0.82045599999999996</v>
      </c>
      <c r="AR109">
        <v>0.51519999999999999</v>
      </c>
      <c r="AS109">
        <v>0.39155200000000001</v>
      </c>
      <c r="AT109">
        <v>1.4168000000000001</v>
      </c>
      <c r="AU109">
        <v>1.212008</v>
      </c>
      <c r="AV109">
        <v>3.3763999999999998</v>
      </c>
      <c r="AW109">
        <v>2.9712320000000001</v>
      </c>
      <c r="AX109">
        <v>1.3615999999999999</v>
      </c>
      <c r="AY109">
        <v>1.1573599999999999</v>
      </c>
      <c r="AZ109">
        <v>0.68079999999999996</v>
      </c>
      <c r="BA109">
        <v>0.53102400000000005</v>
      </c>
      <c r="BB109">
        <v>12.3832</v>
      </c>
      <c r="BC109">
        <v>11.144880000000001</v>
      </c>
      <c r="BD109">
        <v>8.2799999999999994</v>
      </c>
      <c r="BE109">
        <v>7.2864000000000004</v>
      </c>
      <c r="BF109">
        <v>6.3940000000000001</v>
      </c>
      <c r="BG109">
        <v>5.3709600000000002</v>
      </c>
      <c r="BH109">
        <v>3.5051999999999999</v>
      </c>
      <c r="BI109">
        <v>3.0495239999999999</v>
      </c>
      <c r="BJ109">
        <v>6.6055999999999999</v>
      </c>
      <c r="BK109">
        <v>5.8129280000000003</v>
      </c>
      <c r="BL109">
        <v>2.0792000000000002</v>
      </c>
      <c r="BN109">
        <v>4.2779999999999996</v>
      </c>
      <c r="BP109">
        <v>4.2595999999999998</v>
      </c>
      <c r="BR109">
        <v>7.2220000000000004</v>
      </c>
      <c r="BT109">
        <v>3.2383999999999999</v>
      </c>
      <c r="BV109">
        <v>10.119999999999999</v>
      </c>
      <c r="BX109">
        <v>8.6847999999999992</v>
      </c>
      <c r="BY109">
        <v>5.8129280000000003</v>
      </c>
      <c r="BZ109">
        <v>8.5375999999999994</v>
      </c>
      <c r="CB109">
        <v>7.6176000000000004</v>
      </c>
      <c r="CE109">
        <v>350</v>
      </c>
      <c r="CF109">
        <v>350</v>
      </c>
    </row>
    <row r="110" spans="1:84" x14ac:dyDescent="0.3">
      <c r="A110">
        <v>25460</v>
      </c>
      <c r="B110" t="s">
        <v>335</v>
      </c>
      <c r="C110">
        <v>6</v>
      </c>
      <c r="D110">
        <v>94</v>
      </c>
      <c r="E110">
        <v>90.7</v>
      </c>
      <c r="F110">
        <v>72.56</v>
      </c>
      <c r="G110">
        <v>1.5</v>
      </c>
      <c r="H110">
        <v>1.92307692307692</v>
      </c>
      <c r="I110">
        <v>1.38</v>
      </c>
      <c r="K110">
        <v>6.84</v>
      </c>
      <c r="N110">
        <v>3.3</v>
      </c>
      <c r="S110">
        <v>1463.11043403442</v>
      </c>
      <c r="T110">
        <v>3225.5521032504798</v>
      </c>
      <c r="U110">
        <v>3225.5521032504798</v>
      </c>
      <c r="V110">
        <v>3225.5521032504798</v>
      </c>
      <c r="W110">
        <v>3225.5521032504798</v>
      </c>
      <c r="X110">
        <v>9.9000000000000008E-3</v>
      </c>
      <c r="Y110">
        <v>9.9000000000000008E-3</v>
      </c>
      <c r="Z110">
        <v>9.9989999999999996E-2</v>
      </c>
      <c r="AA110">
        <v>9.9989999999999996E-2</v>
      </c>
      <c r="AB110">
        <v>3.3329999999999999E-2</v>
      </c>
      <c r="AC110">
        <v>9.9989999999999996E-2</v>
      </c>
      <c r="AD110">
        <v>7.9991999999999994E-2</v>
      </c>
      <c r="AF110">
        <v>800</v>
      </c>
      <c r="AG110">
        <v>1.1017234131988201</v>
      </c>
      <c r="AI110">
        <v>0.61</v>
      </c>
      <c r="AJ110">
        <v>0.39</v>
      </c>
      <c r="AK110">
        <v>0.2</v>
      </c>
      <c r="AL110">
        <v>206.58239032792201</v>
      </c>
      <c r="AM110">
        <v>-55.677799868948</v>
      </c>
      <c r="AN110">
        <v>8.1267200000000006</v>
      </c>
      <c r="AO110">
        <v>6.9889792000000002</v>
      </c>
      <c r="AP110">
        <v>0.88885999999999998</v>
      </c>
      <c r="AQ110">
        <v>0.80886259999999999</v>
      </c>
      <c r="AR110">
        <v>0.50792000000000004</v>
      </c>
      <c r="AS110">
        <v>0.38601920000000001</v>
      </c>
      <c r="AT110">
        <v>1.3967799999999999</v>
      </c>
      <c r="AU110">
        <v>1.1948818000000001</v>
      </c>
      <c r="AV110">
        <v>3.3286899999999999</v>
      </c>
      <c r="AW110">
        <v>2.9292471999999998</v>
      </c>
      <c r="AX110">
        <v>1.34236</v>
      </c>
      <c r="AY110">
        <v>1.141006</v>
      </c>
      <c r="AZ110">
        <v>0.67118</v>
      </c>
      <c r="BA110">
        <v>0.5235204</v>
      </c>
      <c r="BB110">
        <v>12.208220000000001</v>
      </c>
      <c r="BC110">
        <v>10.987398000000001</v>
      </c>
      <c r="BD110">
        <v>8.1630000000000003</v>
      </c>
      <c r="BE110">
        <v>7.18344</v>
      </c>
      <c r="BF110">
        <v>6.3036500000000002</v>
      </c>
      <c r="BG110">
        <v>5.2950660000000003</v>
      </c>
      <c r="BH110">
        <v>3.45567</v>
      </c>
      <c r="BI110">
        <v>3.0064329000000001</v>
      </c>
      <c r="BJ110">
        <v>6.5122600000000004</v>
      </c>
      <c r="BK110">
        <v>5.7307888</v>
      </c>
      <c r="BL110">
        <v>2.04982</v>
      </c>
      <c r="BN110">
        <v>4.2175500000000001</v>
      </c>
      <c r="BP110">
        <v>4.1994100000000003</v>
      </c>
      <c r="BR110">
        <v>7.1199500000000002</v>
      </c>
      <c r="BT110">
        <v>3.1926399999999999</v>
      </c>
      <c r="BV110">
        <v>9.9770000000000003</v>
      </c>
      <c r="BX110">
        <v>8.5620799999999999</v>
      </c>
      <c r="BY110">
        <v>5.7307888</v>
      </c>
      <c r="BZ110">
        <v>8.4169599999999996</v>
      </c>
      <c r="CB110">
        <v>7.5099600000000004</v>
      </c>
      <c r="CE110">
        <v>350</v>
      </c>
      <c r="CF110">
        <v>350</v>
      </c>
    </row>
    <row r="111" spans="1:84" x14ac:dyDescent="0.3">
      <c r="A111">
        <v>25500</v>
      </c>
      <c r="B111" t="s">
        <v>336</v>
      </c>
      <c r="C111">
        <v>10</v>
      </c>
      <c r="D111">
        <v>90</v>
      </c>
      <c r="E111">
        <v>70</v>
      </c>
      <c r="F111">
        <v>53.9</v>
      </c>
      <c r="G111">
        <v>8</v>
      </c>
      <c r="H111">
        <v>9.4117647058823497</v>
      </c>
      <c r="I111">
        <v>4.8</v>
      </c>
      <c r="K111">
        <v>6.84</v>
      </c>
      <c r="O111">
        <v>12</v>
      </c>
      <c r="AF111">
        <v>500</v>
      </c>
      <c r="AN111">
        <v>4.5449999999999999</v>
      </c>
      <c r="AP111">
        <v>1.55</v>
      </c>
      <c r="AR111">
        <v>0.61599999999999999</v>
      </c>
      <c r="AT111">
        <v>2.0779999999999998</v>
      </c>
      <c r="AV111">
        <v>2.5649999999999999</v>
      </c>
      <c r="AX111">
        <v>0.79200000000000004</v>
      </c>
      <c r="AZ111">
        <v>2.7850000000000001</v>
      </c>
      <c r="BB111">
        <v>4.5750000000000002</v>
      </c>
      <c r="BD111">
        <v>3.1160000000000001</v>
      </c>
      <c r="BF111">
        <v>1.34</v>
      </c>
      <c r="BH111">
        <v>4.6790000000000003</v>
      </c>
      <c r="BJ111">
        <v>3.105</v>
      </c>
      <c r="BL111">
        <v>2.7090000000000001</v>
      </c>
      <c r="BN111">
        <v>2.42</v>
      </c>
      <c r="BP111">
        <v>4.3289999999999997</v>
      </c>
      <c r="BR111">
        <v>9.6080000000000005</v>
      </c>
      <c r="BT111">
        <v>4.1029999999999998</v>
      </c>
      <c r="BV111">
        <v>6.6459999999999999</v>
      </c>
      <c r="BX111">
        <v>5.3970000000000002</v>
      </c>
      <c r="BZ111">
        <v>6.8319999999999999</v>
      </c>
      <c r="CB111">
        <v>3.6190000000000002</v>
      </c>
    </row>
    <row r="112" spans="1:84" x14ac:dyDescent="0.3">
      <c r="A112">
        <v>25510</v>
      </c>
      <c r="B112" t="s">
        <v>337</v>
      </c>
      <c r="C112">
        <v>6</v>
      </c>
      <c r="D112">
        <v>94</v>
      </c>
      <c r="E112">
        <v>34.5</v>
      </c>
      <c r="F112">
        <v>26.565000000000001</v>
      </c>
      <c r="G112">
        <v>32.5</v>
      </c>
      <c r="H112">
        <v>38.235294117647101</v>
      </c>
      <c r="I112">
        <v>19.5</v>
      </c>
      <c r="J112">
        <v>4.8</v>
      </c>
      <c r="K112">
        <v>6.84</v>
      </c>
      <c r="L112">
        <v>11</v>
      </c>
      <c r="M112">
        <v>6.6</v>
      </c>
      <c r="N112">
        <v>12</v>
      </c>
      <c r="O112">
        <v>10.199999999999999</v>
      </c>
      <c r="S112">
        <v>1914.192</v>
      </c>
      <c r="AF112">
        <v>300</v>
      </c>
      <c r="AN112">
        <v>1.7050000000000001</v>
      </c>
      <c r="AP112">
        <v>0.66249999999999998</v>
      </c>
      <c r="AR112">
        <v>0.30359999999999998</v>
      </c>
      <c r="AT112">
        <v>0.97750000000000004</v>
      </c>
      <c r="AV112">
        <v>1.1805000000000001</v>
      </c>
      <c r="AX112">
        <v>0.33050000000000002</v>
      </c>
      <c r="AZ112">
        <v>1.3294999999999999</v>
      </c>
      <c r="BB112">
        <v>2.0190000000000001</v>
      </c>
      <c r="BD112">
        <v>1.5894999999999999</v>
      </c>
      <c r="BF112">
        <v>0.59450000000000003</v>
      </c>
      <c r="BH112">
        <v>1.3065</v>
      </c>
      <c r="BJ112">
        <v>1.7915000000000001</v>
      </c>
      <c r="BL112">
        <v>1.3351500000000001</v>
      </c>
      <c r="BN112">
        <v>1.1419999999999999</v>
      </c>
      <c r="BP112">
        <v>1.6665000000000001</v>
      </c>
      <c r="BR112">
        <v>3.573</v>
      </c>
      <c r="BT112">
        <v>0.94350000000000001</v>
      </c>
      <c r="BV112">
        <v>2.7410000000000001</v>
      </c>
      <c r="BX112">
        <v>2.6599499999999998</v>
      </c>
      <c r="BZ112">
        <v>3.3672</v>
      </c>
      <c r="CB112">
        <v>1.78365</v>
      </c>
    </row>
    <row r="113" spans="1:82" x14ac:dyDescent="0.3">
      <c r="A113">
        <v>25600</v>
      </c>
      <c r="B113" t="s">
        <v>338</v>
      </c>
      <c r="C113">
        <v>25</v>
      </c>
      <c r="D113">
        <v>75</v>
      </c>
      <c r="E113">
        <v>3</v>
      </c>
      <c r="G113">
        <v>0.1</v>
      </c>
      <c r="H113">
        <v>0.2</v>
      </c>
      <c r="I113">
        <v>0.09</v>
      </c>
      <c r="J113">
        <v>2.4500000000000002</v>
      </c>
      <c r="K113">
        <v>6.84</v>
      </c>
      <c r="N113">
        <v>7.9</v>
      </c>
      <c r="O113">
        <v>61.55</v>
      </c>
      <c r="P113">
        <v>46</v>
      </c>
      <c r="R113">
        <v>46</v>
      </c>
      <c r="X113">
        <v>0.79</v>
      </c>
      <c r="Y113">
        <v>0.79</v>
      </c>
      <c r="Z113">
        <v>7.9000000000000001E-2</v>
      </c>
      <c r="AA113">
        <v>7.9000000000000001E-2</v>
      </c>
      <c r="AB113" s="9">
        <v>2.6333333333333299E-2</v>
      </c>
      <c r="AC113">
        <v>4.3450000000000003E-2</v>
      </c>
      <c r="AD113">
        <v>3.5549999999999998E-2</v>
      </c>
      <c r="AE113">
        <v>3.5549999999999998E-2</v>
      </c>
      <c r="AF113">
        <v>10</v>
      </c>
      <c r="AG113">
        <v>1.6834804539722501</v>
      </c>
      <c r="AI113">
        <v>0.45</v>
      </c>
      <c r="AJ113">
        <v>1.35</v>
      </c>
      <c r="AK113">
        <v>2.7</v>
      </c>
      <c r="AL113">
        <v>505.50616532710001</v>
      </c>
      <c r="AM113">
        <v>777.851912479612</v>
      </c>
    </row>
    <row r="114" spans="1:82" x14ac:dyDescent="0.3">
      <c r="A114">
        <v>25610</v>
      </c>
      <c r="B114" t="s">
        <v>339</v>
      </c>
      <c r="C114">
        <v>2</v>
      </c>
      <c r="D114">
        <v>98</v>
      </c>
      <c r="K114">
        <v>6.84</v>
      </c>
      <c r="O114">
        <v>98</v>
      </c>
      <c r="AF114">
        <v>50</v>
      </c>
    </row>
    <row r="115" spans="1:82" x14ac:dyDescent="0.3">
      <c r="A115">
        <v>30000</v>
      </c>
      <c r="B115" t="s">
        <v>340</v>
      </c>
      <c r="C115">
        <v>0.5</v>
      </c>
      <c r="D115">
        <v>99.5</v>
      </c>
      <c r="G115">
        <v>99.5</v>
      </c>
      <c r="H115">
        <v>99.5</v>
      </c>
      <c r="I115">
        <v>94.525000000000006</v>
      </c>
      <c r="K115">
        <v>6.84</v>
      </c>
      <c r="S115">
        <v>4082.3756070745699</v>
      </c>
      <c r="T115">
        <v>8999.9462237093703</v>
      </c>
      <c r="U115">
        <v>8999.9462237093703</v>
      </c>
      <c r="V115">
        <v>8999.9462237093703</v>
      </c>
      <c r="W115">
        <v>8999.9462237093703</v>
      </c>
      <c r="AF115">
        <v>16</v>
      </c>
      <c r="CD115">
        <v>52.734999999999999</v>
      </c>
    </row>
    <row r="116" spans="1:82" x14ac:dyDescent="0.3">
      <c r="A116">
        <v>30005</v>
      </c>
      <c r="B116" t="s">
        <v>341</v>
      </c>
      <c r="C116">
        <v>0.5</v>
      </c>
      <c r="D116">
        <v>99.5</v>
      </c>
      <c r="G116">
        <v>99.5</v>
      </c>
      <c r="H116">
        <v>99.5</v>
      </c>
      <c r="I116">
        <v>94.525000000000006</v>
      </c>
      <c r="K116">
        <v>6.84</v>
      </c>
      <c r="AF116">
        <v>18</v>
      </c>
      <c r="CD116">
        <v>50.744999999999997</v>
      </c>
    </row>
    <row r="117" spans="1:82" x14ac:dyDescent="0.3">
      <c r="A117">
        <v>30010</v>
      </c>
      <c r="B117" t="s">
        <v>342</v>
      </c>
      <c r="C117">
        <v>0.5</v>
      </c>
      <c r="D117">
        <v>99.5</v>
      </c>
      <c r="G117">
        <v>99.5</v>
      </c>
      <c r="H117">
        <v>99.5</v>
      </c>
      <c r="I117">
        <v>94.525000000000006</v>
      </c>
      <c r="K117">
        <v>6.84</v>
      </c>
      <c r="AF117">
        <v>10</v>
      </c>
      <c r="CD117">
        <v>9.6515000000000004</v>
      </c>
    </row>
    <row r="118" spans="1:82" x14ac:dyDescent="0.3">
      <c r="A118">
        <v>30015</v>
      </c>
      <c r="B118" t="s">
        <v>343</v>
      </c>
      <c r="C118">
        <v>0.5</v>
      </c>
      <c r="D118">
        <v>99.5</v>
      </c>
      <c r="G118">
        <v>99.5</v>
      </c>
      <c r="H118">
        <v>99.5</v>
      </c>
      <c r="I118">
        <v>94.525000000000006</v>
      </c>
      <c r="K118">
        <v>6.84</v>
      </c>
      <c r="AF118">
        <v>10</v>
      </c>
      <c r="CD118">
        <v>20.397500000000001</v>
      </c>
    </row>
    <row r="119" spans="1:82" x14ac:dyDescent="0.3">
      <c r="A119">
        <v>30020</v>
      </c>
      <c r="B119" t="s">
        <v>344</v>
      </c>
      <c r="C119">
        <v>0.5</v>
      </c>
      <c r="D119">
        <v>99.5</v>
      </c>
      <c r="G119">
        <v>99.5</v>
      </c>
      <c r="H119">
        <v>99.5</v>
      </c>
      <c r="I119">
        <v>94.525000000000006</v>
      </c>
      <c r="K119">
        <v>6.84</v>
      </c>
      <c r="AF119">
        <v>10</v>
      </c>
      <c r="CD119">
        <v>1.99</v>
      </c>
    </row>
    <row r="120" spans="1:82" x14ac:dyDescent="0.3">
      <c r="A120">
        <v>30025</v>
      </c>
      <c r="B120" t="s">
        <v>345</v>
      </c>
      <c r="C120">
        <v>0.5</v>
      </c>
      <c r="D120">
        <v>99.5</v>
      </c>
      <c r="G120">
        <v>99.5</v>
      </c>
      <c r="H120">
        <v>99.5</v>
      </c>
      <c r="I120">
        <v>94.525000000000006</v>
      </c>
      <c r="K120">
        <v>6.84</v>
      </c>
      <c r="AF120">
        <v>15</v>
      </c>
      <c r="CD120">
        <v>0.995</v>
      </c>
    </row>
    <row r="121" spans="1:82" x14ac:dyDescent="0.3">
      <c r="A121">
        <v>30030</v>
      </c>
      <c r="B121" t="s">
        <v>346</v>
      </c>
      <c r="C121">
        <v>0.5</v>
      </c>
      <c r="D121">
        <v>99.5</v>
      </c>
      <c r="G121">
        <v>97</v>
      </c>
      <c r="H121">
        <v>97</v>
      </c>
      <c r="I121">
        <v>77.599999999999994</v>
      </c>
      <c r="K121">
        <v>6.84</v>
      </c>
      <c r="O121">
        <v>2.5</v>
      </c>
      <c r="AF121">
        <v>15</v>
      </c>
      <c r="CD121">
        <v>20.37</v>
      </c>
    </row>
    <row r="122" spans="1:82" x14ac:dyDescent="0.3">
      <c r="A122">
        <v>30035</v>
      </c>
      <c r="B122" t="s">
        <v>347</v>
      </c>
      <c r="C122">
        <v>2</v>
      </c>
      <c r="D122">
        <v>98</v>
      </c>
      <c r="G122">
        <v>98.5</v>
      </c>
      <c r="H122">
        <v>98.5</v>
      </c>
      <c r="I122">
        <v>93.575000000000003</v>
      </c>
      <c r="K122">
        <v>6.84</v>
      </c>
      <c r="AF122">
        <v>15</v>
      </c>
    </row>
    <row r="123" spans="1:82" x14ac:dyDescent="0.3">
      <c r="A123">
        <v>30040</v>
      </c>
      <c r="B123" t="s">
        <v>348</v>
      </c>
      <c r="C123">
        <v>0.5</v>
      </c>
      <c r="D123">
        <v>99.5</v>
      </c>
      <c r="G123">
        <v>98</v>
      </c>
      <c r="H123">
        <v>98</v>
      </c>
      <c r="I123">
        <v>83.3</v>
      </c>
      <c r="K123">
        <v>6.84</v>
      </c>
      <c r="O123">
        <v>1.5</v>
      </c>
      <c r="AF123">
        <v>15</v>
      </c>
    </row>
    <row r="124" spans="1:82" x14ac:dyDescent="0.3">
      <c r="A124">
        <v>30050</v>
      </c>
      <c r="B124" t="s">
        <v>349</v>
      </c>
      <c r="C124">
        <v>0.5</v>
      </c>
      <c r="D124">
        <v>99.5</v>
      </c>
      <c r="G124">
        <v>98</v>
      </c>
      <c r="H124">
        <v>98</v>
      </c>
      <c r="I124">
        <v>93.1</v>
      </c>
      <c r="K124">
        <v>6.84</v>
      </c>
      <c r="O124">
        <v>1.5</v>
      </c>
      <c r="AF124">
        <v>15</v>
      </c>
      <c r="CD124">
        <v>20.09</v>
      </c>
    </row>
    <row r="125" spans="1:82" x14ac:dyDescent="0.3">
      <c r="A125">
        <v>30060</v>
      </c>
      <c r="B125" t="s">
        <v>350</v>
      </c>
      <c r="C125">
        <v>0.5</v>
      </c>
      <c r="D125">
        <v>99.5</v>
      </c>
      <c r="G125">
        <v>99.5</v>
      </c>
      <c r="H125">
        <v>99.5</v>
      </c>
      <c r="I125">
        <v>94.525000000000006</v>
      </c>
      <c r="K125">
        <v>6.84</v>
      </c>
      <c r="AF125">
        <v>15</v>
      </c>
      <c r="CD125">
        <v>2.5870000000000002</v>
      </c>
    </row>
    <row r="126" spans="1:82" x14ac:dyDescent="0.3">
      <c r="A126">
        <v>30070</v>
      </c>
      <c r="B126" t="s">
        <v>351</v>
      </c>
      <c r="C126">
        <v>0.5</v>
      </c>
      <c r="D126">
        <v>99.5</v>
      </c>
      <c r="G126">
        <v>99</v>
      </c>
      <c r="H126">
        <v>99</v>
      </c>
      <c r="I126">
        <v>79.2</v>
      </c>
      <c r="K126">
        <v>6.84</v>
      </c>
      <c r="O126">
        <v>0.5</v>
      </c>
      <c r="AF126">
        <v>15</v>
      </c>
      <c r="CD126">
        <v>1.98</v>
      </c>
    </row>
    <row r="127" spans="1:82" x14ac:dyDescent="0.3">
      <c r="A127">
        <v>30075</v>
      </c>
      <c r="B127" t="s">
        <v>352</v>
      </c>
      <c r="C127">
        <v>0.5</v>
      </c>
      <c r="D127">
        <v>99.5</v>
      </c>
      <c r="G127">
        <v>99.5</v>
      </c>
      <c r="H127">
        <v>99.5</v>
      </c>
      <c r="I127">
        <v>94.525000000000006</v>
      </c>
      <c r="K127">
        <v>6.84</v>
      </c>
      <c r="AF127">
        <v>15</v>
      </c>
      <c r="CD127">
        <v>36.417000000000002</v>
      </c>
    </row>
    <row r="128" spans="1:82" x14ac:dyDescent="0.3">
      <c r="A128">
        <v>30080</v>
      </c>
      <c r="B128" t="s">
        <v>353</v>
      </c>
      <c r="C128">
        <v>0.5</v>
      </c>
      <c r="D128">
        <v>99.5</v>
      </c>
      <c r="G128">
        <v>99.5</v>
      </c>
      <c r="H128">
        <v>99.5</v>
      </c>
      <c r="I128">
        <v>94.525000000000006</v>
      </c>
      <c r="K128">
        <v>6.84</v>
      </c>
      <c r="AF128">
        <v>5</v>
      </c>
    </row>
    <row r="129" spans="1:82" x14ac:dyDescent="0.3">
      <c r="A129">
        <v>30090</v>
      </c>
      <c r="B129" t="s">
        <v>354</v>
      </c>
      <c r="C129">
        <v>0.5</v>
      </c>
      <c r="D129">
        <v>99.5</v>
      </c>
      <c r="G129">
        <v>99.5</v>
      </c>
      <c r="H129">
        <v>99.5</v>
      </c>
      <c r="I129">
        <v>94.525000000000006</v>
      </c>
      <c r="K129">
        <v>6.84</v>
      </c>
      <c r="AF129">
        <v>5</v>
      </c>
      <c r="CD129">
        <v>6.0694999999999997</v>
      </c>
    </row>
    <row r="130" spans="1:82" x14ac:dyDescent="0.3">
      <c r="A130">
        <v>35000</v>
      </c>
      <c r="B130" t="s">
        <v>355</v>
      </c>
      <c r="C130">
        <v>0.5</v>
      </c>
      <c r="D130">
        <v>99.5</v>
      </c>
      <c r="K130">
        <v>6.84</v>
      </c>
      <c r="N130">
        <v>96</v>
      </c>
      <c r="O130">
        <v>3.5</v>
      </c>
      <c r="Z130">
        <v>24</v>
      </c>
      <c r="AA130">
        <v>24</v>
      </c>
      <c r="AB130">
        <v>24</v>
      </c>
      <c r="AC130">
        <v>24</v>
      </c>
      <c r="AD130">
        <v>21.799199999999999</v>
      </c>
      <c r="AF130">
        <v>4500</v>
      </c>
      <c r="AG130">
        <v>23.9266498528794</v>
      </c>
      <c r="AI130">
        <v>18.649999999999999</v>
      </c>
      <c r="AJ130">
        <v>0.02</v>
      </c>
      <c r="AK130">
        <v>0.01</v>
      </c>
      <c r="AL130">
        <v>8112.6684935474104</v>
      </c>
      <c r="AM130">
        <v>-5473.8564704984801</v>
      </c>
    </row>
    <row r="131" spans="1:82" x14ac:dyDescent="0.3">
      <c r="A131">
        <v>35010</v>
      </c>
      <c r="B131" t="s">
        <v>356</v>
      </c>
      <c r="C131">
        <v>1</v>
      </c>
      <c r="D131">
        <v>99</v>
      </c>
      <c r="K131">
        <v>6.84</v>
      </c>
      <c r="N131">
        <v>95</v>
      </c>
      <c r="O131">
        <v>4</v>
      </c>
      <c r="X131">
        <v>17.3185</v>
      </c>
      <c r="Y131">
        <v>17.3185</v>
      </c>
      <c r="Z131">
        <v>22.657499999999999</v>
      </c>
      <c r="AA131">
        <v>22.657499999999999</v>
      </c>
      <c r="AB131">
        <v>21.751200000000001</v>
      </c>
      <c r="AC131">
        <v>22.657499999999999</v>
      </c>
      <c r="AD131">
        <v>18.996047999999998</v>
      </c>
      <c r="AF131">
        <v>6500</v>
      </c>
      <c r="AG131">
        <v>0.25115594787725898</v>
      </c>
      <c r="AI131">
        <v>0.1</v>
      </c>
      <c r="AJ131">
        <v>0.15</v>
      </c>
      <c r="AK131">
        <v>0.15</v>
      </c>
      <c r="AL131">
        <v>39.564193036375897</v>
      </c>
      <c r="AM131">
        <v>-6156.1145597391196</v>
      </c>
    </row>
    <row r="132" spans="1:82" x14ac:dyDescent="0.3">
      <c r="A132">
        <v>35020</v>
      </c>
      <c r="B132" t="s">
        <v>19</v>
      </c>
      <c r="C132">
        <v>1.2</v>
      </c>
      <c r="D132">
        <v>98.8</v>
      </c>
      <c r="K132">
        <v>6.84</v>
      </c>
      <c r="N132">
        <v>85</v>
      </c>
      <c r="O132">
        <v>13.8</v>
      </c>
      <c r="X132">
        <v>24.811499999999999</v>
      </c>
      <c r="Y132">
        <v>24.811499999999999</v>
      </c>
      <c r="Z132">
        <v>18.3005</v>
      </c>
      <c r="AA132">
        <v>18.3005</v>
      </c>
      <c r="AB132">
        <v>17.202470000000002</v>
      </c>
      <c r="AC132">
        <v>18.3005</v>
      </c>
      <c r="AD132">
        <v>14.2341289</v>
      </c>
      <c r="AF132">
        <v>8230</v>
      </c>
      <c r="AG132">
        <v>0.13535098781000399</v>
      </c>
      <c r="AI132">
        <v>0.08</v>
      </c>
      <c r="AJ132">
        <v>0.04</v>
      </c>
      <c r="AK132">
        <v>0.12</v>
      </c>
      <c r="AL132">
        <v>54.2183501977891</v>
      </c>
      <c r="AM132">
        <v>-1246.77425269012</v>
      </c>
    </row>
    <row r="133" spans="1:82" x14ac:dyDescent="0.3">
      <c r="A133">
        <v>35030</v>
      </c>
      <c r="B133" t="s">
        <v>357</v>
      </c>
      <c r="C133">
        <v>1.1000000000000001</v>
      </c>
      <c r="D133">
        <v>98.9</v>
      </c>
      <c r="K133">
        <v>6.84</v>
      </c>
      <c r="N133">
        <v>85</v>
      </c>
      <c r="O133">
        <v>13.9</v>
      </c>
      <c r="X133">
        <v>21.377500000000001</v>
      </c>
      <c r="Y133">
        <v>21.377500000000001</v>
      </c>
      <c r="Z133">
        <v>22.295500000000001</v>
      </c>
      <c r="AA133">
        <v>22.295500000000001</v>
      </c>
      <c r="AB133">
        <v>19.397085000000001</v>
      </c>
      <c r="AC133">
        <v>22.295500000000001</v>
      </c>
      <c r="AD133">
        <v>17.816334049999998</v>
      </c>
      <c r="AF133">
        <v>7500</v>
      </c>
      <c r="AG133">
        <v>0.440941572089113</v>
      </c>
      <c r="AI133">
        <v>0.28000000000000003</v>
      </c>
      <c r="AJ133">
        <v>0.1</v>
      </c>
      <c r="AK133">
        <v>0.17</v>
      </c>
      <c r="AL133">
        <v>137.11237500108601</v>
      </c>
      <c r="AM133">
        <v>-4415.29388748577</v>
      </c>
    </row>
    <row r="134" spans="1:82" x14ac:dyDescent="0.3">
      <c r="A134">
        <v>35040</v>
      </c>
      <c r="B134" t="s">
        <v>358</v>
      </c>
      <c r="C134">
        <v>1</v>
      </c>
      <c r="D134">
        <v>99</v>
      </c>
      <c r="K134">
        <v>6.84</v>
      </c>
      <c r="N134">
        <v>99</v>
      </c>
      <c r="X134">
        <v>31.9968</v>
      </c>
      <c r="Y134">
        <v>31.9968</v>
      </c>
      <c r="Z134">
        <v>17.998200000000001</v>
      </c>
      <c r="AA134">
        <v>17.998200000000001</v>
      </c>
      <c r="AB134">
        <v>16.918308</v>
      </c>
      <c r="AC134">
        <v>17.998200000000001</v>
      </c>
      <c r="AD134">
        <v>8.9991000000000003</v>
      </c>
      <c r="AF134">
        <v>7400</v>
      </c>
      <c r="AG134">
        <v>7.6923076923076996</v>
      </c>
      <c r="AI134">
        <v>6</v>
      </c>
      <c r="AK134">
        <v>0.09</v>
      </c>
      <c r="AL134">
        <v>2633.98278292844</v>
      </c>
      <c r="AM134">
        <v>4637.8593379964996</v>
      </c>
    </row>
    <row r="135" spans="1:82" x14ac:dyDescent="0.3">
      <c r="A135">
        <v>35050</v>
      </c>
      <c r="B135" t="s">
        <v>359</v>
      </c>
      <c r="C135">
        <v>0.5</v>
      </c>
      <c r="D135">
        <v>99.5</v>
      </c>
      <c r="K135">
        <v>6.84</v>
      </c>
      <c r="N135">
        <v>35</v>
      </c>
      <c r="O135">
        <v>64.5</v>
      </c>
      <c r="X135">
        <v>0.39900000000000002</v>
      </c>
      <c r="Y135">
        <v>0.39900000000000002</v>
      </c>
      <c r="Z135">
        <v>26.201000000000001</v>
      </c>
      <c r="AA135">
        <v>26.201000000000001</v>
      </c>
      <c r="AB135">
        <v>26.201000000000001</v>
      </c>
      <c r="AC135">
        <v>26.201000000000001</v>
      </c>
      <c r="AD135">
        <v>23.601860800000001</v>
      </c>
      <c r="AF135">
        <v>4000</v>
      </c>
      <c r="AG135">
        <v>0.256410256410257</v>
      </c>
      <c r="AI135">
        <v>0.2</v>
      </c>
      <c r="AK135">
        <v>0.15</v>
      </c>
      <c r="AL135">
        <v>125.39341106002099</v>
      </c>
      <c r="AM135">
        <v>-14810.8369438829</v>
      </c>
    </row>
    <row r="136" spans="1:82" x14ac:dyDescent="0.3">
      <c r="A136">
        <v>35060</v>
      </c>
      <c r="B136" t="s">
        <v>360</v>
      </c>
      <c r="C136">
        <v>0.5</v>
      </c>
      <c r="D136">
        <v>99.5</v>
      </c>
      <c r="K136">
        <v>6.84</v>
      </c>
      <c r="O136">
        <v>99.5</v>
      </c>
      <c r="AF136">
        <v>-8850</v>
      </c>
    </row>
    <row r="137" spans="1:82" x14ac:dyDescent="0.3">
      <c r="A137">
        <v>35070</v>
      </c>
      <c r="B137" t="s">
        <v>361</v>
      </c>
      <c r="C137">
        <v>0.5</v>
      </c>
      <c r="D137">
        <v>99.5</v>
      </c>
      <c r="K137">
        <v>6.84</v>
      </c>
      <c r="N137">
        <v>71</v>
      </c>
      <c r="O137">
        <v>28.5</v>
      </c>
      <c r="X137">
        <v>24.8003</v>
      </c>
      <c r="Y137">
        <v>24.8003</v>
      </c>
      <c r="Z137">
        <v>12.396599999999999</v>
      </c>
      <c r="AA137">
        <v>12.396599999999999</v>
      </c>
      <c r="AB137">
        <v>11.652804</v>
      </c>
      <c r="AC137">
        <v>11.652804</v>
      </c>
      <c r="AD137">
        <v>7.6858919999999999</v>
      </c>
      <c r="AF137">
        <v>12000</v>
      </c>
      <c r="AG137" s="9">
        <v>5.1282051282051502E-2</v>
      </c>
      <c r="AI137">
        <v>0.04</v>
      </c>
      <c r="AK137">
        <v>0.2</v>
      </c>
      <c r="AL137">
        <v>68.554719243357994</v>
      </c>
      <c r="AM137">
        <v>1117.78999470704</v>
      </c>
    </row>
    <row r="138" spans="1:82" x14ac:dyDescent="0.3">
      <c r="A138">
        <v>35080</v>
      </c>
      <c r="B138" t="s">
        <v>362</v>
      </c>
      <c r="C138">
        <v>0.5</v>
      </c>
      <c r="D138">
        <v>99.5</v>
      </c>
      <c r="K138">
        <v>6.84</v>
      </c>
      <c r="N138">
        <v>90</v>
      </c>
      <c r="O138">
        <v>9.5</v>
      </c>
      <c r="X138">
        <v>31.437000000000001</v>
      </c>
      <c r="Y138">
        <v>31.437000000000001</v>
      </c>
      <c r="Z138">
        <v>15.714</v>
      </c>
      <c r="AA138">
        <v>15.714</v>
      </c>
      <c r="AB138">
        <v>5.2380000000000004</v>
      </c>
      <c r="AC138">
        <v>15.714</v>
      </c>
      <c r="AD138">
        <v>10.37124</v>
      </c>
      <c r="AF138">
        <v>12000</v>
      </c>
      <c r="AG138" s="9">
        <v>5.7692307692307501E-2</v>
      </c>
      <c r="AI138">
        <v>4.4999999999999998E-2</v>
      </c>
      <c r="AK138">
        <v>0.25</v>
      </c>
      <c r="AL138">
        <v>83.517594006329801</v>
      </c>
      <c r="AM138">
        <v>2998.0327285131998</v>
      </c>
    </row>
    <row r="139" spans="1:82" x14ac:dyDescent="0.3">
      <c r="A139">
        <v>36000</v>
      </c>
      <c r="B139" t="s">
        <v>363</v>
      </c>
      <c r="C139">
        <v>3</v>
      </c>
      <c r="D139">
        <v>97</v>
      </c>
      <c r="K139">
        <v>6.84</v>
      </c>
      <c r="N139">
        <v>94.76</v>
      </c>
      <c r="O139">
        <v>2.23999999999999</v>
      </c>
      <c r="X139">
        <v>37.998759999999997</v>
      </c>
      <c r="Y139">
        <v>37.998759999999997</v>
      </c>
      <c r="AF139">
        <v>22050</v>
      </c>
      <c r="AG139">
        <v>0.118957545187053</v>
      </c>
      <c r="AI139">
        <v>0.08</v>
      </c>
      <c r="AJ139">
        <v>0.02</v>
      </c>
      <c r="AK139">
        <v>0.08</v>
      </c>
      <c r="AL139">
        <v>49.630443367877803</v>
      </c>
      <c r="AM139">
        <v>14364.1697070501</v>
      </c>
    </row>
    <row r="140" spans="1:82" x14ac:dyDescent="0.3">
      <c r="A140">
        <v>36001</v>
      </c>
      <c r="B140" t="s">
        <v>20</v>
      </c>
      <c r="C140">
        <v>3</v>
      </c>
      <c r="D140">
        <v>97</v>
      </c>
      <c r="K140">
        <v>6.84</v>
      </c>
      <c r="N140">
        <v>92.26</v>
      </c>
      <c r="O140">
        <v>4.7399999999999904</v>
      </c>
      <c r="X140">
        <v>36.996259999999999</v>
      </c>
      <c r="Y140">
        <v>36.996259999999999</v>
      </c>
      <c r="AF140">
        <v>22050</v>
      </c>
      <c r="AG140">
        <v>0.118957545187053</v>
      </c>
      <c r="AI140">
        <v>0.08</v>
      </c>
      <c r="AJ140">
        <v>0.02</v>
      </c>
      <c r="AK140">
        <v>0.08</v>
      </c>
      <c r="AL140">
        <v>49.630443367877803</v>
      </c>
      <c r="AM140">
        <v>13988.2791933643</v>
      </c>
    </row>
    <row r="141" spans="1:82" x14ac:dyDescent="0.3">
      <c r="A141">
        <v>36002</v>
      </c>
      <c r="B141" t="s">
        <v>364</v>
      </c>
      <c r="C141">
        <v>3</v>
      </c>
      <c r="D141">
        <v>97</v>
      </c>
      <c r="K141">
        <v>6.84</v>
      </c>
      <c r="N141">
        <v>95.5</v>
      </c>
      <c r="O141">
        <v>1.5</v>
      </c>
      <c r="X141">
        <v>38.295499999999997</v>
      </c>
      <c r="Y141">
        <v>38.295499999999997</v>
      </c>
      <c r="AF141">
        <v>22050</v>
      </c>
      <c r="AG141">
        <v>0.118957545187053</v>
      </c>
      <c r="AI141">
        <v>0.08</v>
      </c>
      <c r="AJ141">
        <v>0.02</v>
      </c>
      <c r="AK141">
        <v>0.08</v>
      </c>
      <c r="AL141">
        <v>49.630443367877803</v>
      </c>
      <c r="AM141">
        <v>14475.433299101</v>
      </c>
    </row>
    <row r="142" spans="1:82" x14ac:dyDescent="0.3">
      <c r="A142">
        <v>36003</v>
      </c>
      <c r="B142" t="s">
        <v>365</v>
      </c>
      <c r="C142">
        <v>3</v>
      </c>
      <c r="D142">
        <v>97</v>
      </c>
      <c r="K142">
        <v>6.84</v>
      </c>
      <c r="N142">
        <v>89.77</v>
      </c>
      <c r="O142">
        <v>7.23</v>
      </c>
      <c r="X142">
        <v>35.997770000000003</v>
      </c>
      <c r="Y142">
        <v>35.997770000000003</v>
      </c>
      <c r="AF142">
        <v>22050</v>
      </c>
      <c r="AG142">
        <v>0.118957545187053</v>
      </c>
      <c r="AI142">
        <v>0.08</v>
      </c>
      <c r="AJ142">
        <v>0.02</v>
      </c>
      <c r="AK142">
        <v>0.08</v>
      </c>
      <c r="AL142">
        <v>49.630443367877803</v>
      </c>
      <c r="AM142">
        <v>13613.8922417332</v>
      </c>
    </row>
    <row r="143" spans="1:82" x14ac:dyDescent="0.3">
      <c r="A143">
        <v>36004</v>
      </c>
      <c r="B143" t="s">
        <v>366</v>
      </c>
      <c r="C143">
        <v>3</v>
      </c>
      <c r="D143">
        <v>97</v>
      </c>
      <c r="K143">
        <v>6.84</v>
      </c>
      <c r="N143">
        <v>84.78</v>
      </c>
      <c r="O143">
        <v>12.22</v>
      </c>
      <c r="X143">
        <v>33.996780000000001</v>
      </c>
      <c r="Y143">
        <v>33.996780000000001</v>
      </c>
      <c r="AF143">
        <v>22050</v>
      </c>
      <c r="AG143">
        <v>0.118957545187053</v>
      </c>
      <c r="AI143">
        <v>0.08</v>
      </c>
      <c r="AJ143">
        <v>0.02</v>
      </c>
      <c r="AK143">
        <v>0.08</v>
      </c>
      <c r="AL143">
        <v>49.630443367877803</v>
      </c>
      <c r="AM143">
        <v>12863.6147764164</v>
      </c>
    </row>
    <row r="144" spans="1:82" x14ac:dyDescent="0.3">
      <c r="A144">
        <v>36010</v>
      </c>
      <c r="B144" t="s">
        <v>367</v>
      </c>
      <c r="C144">
        <v>3</v>
      </c>
      <c r="D144">
        <v>97</v>
      </c>
      <c r="K144">
        <v>6.84</v>
      </c>
      <c r="N144">
        <v>94.1</v>
      </c>
      <c r="O144">
        <v>2.9000000000000101</v>
      </c>
      <c r="X144">
        <v>35.710949999999997</v>
      </c>
      <c r="Y144">
        <v>35.710949999999997</v>
      </c>
      <c r="AF144">
        <v>12000</v>
      </c>
      <c r="AG144">
        <v>0.272803699033208</v>
      </c>
      <c r="AI144">
        <v>0.2</v>
      </c>
      <c r="AJ144">
        <v>0.02</v>
      </c>
      <c r="AK144">
        <v>0.03</v>
      </c>
      <c r="AL144">
        <v>89.062694801598695</v>
      </c>
      <c r="AM144">
        <v>13450.1249522445</v>
      </c>
    </row>
    <row r="145" spans="1:39" x14ac:dyDescent="0.3">
      <c r="A145">
        <v>36011</v>
      </c>
      <c r="B145" t="s">
        <v>368</v>
      </c>
      <c r="C145">
        <v>3</v>
      </c>
      <c r="D145">
        <v>97</v>
      </c>
      <c r="K145">
        <v>6.84</v>
      </c>
      <c r="N145">
        <v>91.47</v>
      </c>
      <c r="O145">
        <v>5.53</v>
      </c>
      <c r="X145">
        <v>34.712865000000001</v>
      </c>
      <c r="Y145">
        <v>34.712865000000001</v>
      </c>
      <c r="AF145">
        <v>12000</v>
      </c>
      <c r="AG145">
        <v>0.272803699033208</v>
      </c>
      <c r="AI145">
        <v>0.2</v>
      </c>
      <c r="AJ145">
        <v>0.02</v>
      </c>
      <c r="AK145">
        <v>0.03</v>
      </c>
      <c r="AL145">
        <v>89.062694801598695</v>
      </c>
      <c r="AM145">
        <v>13075.8898566315</v>
      </c>
    </row>
    <row r="146" spans="1:39" x14ac:dyDescent="0.3">
      <c r="A146">
        <v>36012</v>
      </c>
      <c r="B146" t="s">
        <v>369</v>
      </c>
      <c r="C146">
        <v>3</v>
      </c>
      <c r="D146">
        <v>97</v>
      </c>
      <c r="K146">
        <v>6.84</v>
      </c>
      <c r="N146">
        <v>88.66</v>
      </c>
      <c r="O146">
        <v>8.34</v>
      </c>
      <c r="X146">
        <v>33.646470000000001</v>
      </c>
      <c r="Y146">
        <v>33.646470000000001</v>
      </c>
      <c r="AF146">
        <v>12000</v>
      </c>
      <c r="AG146">
        <v>0.272803699033208</v>
      </c>
      <c r="AI146">
        <v>0.2</v>
      </c>
      <c r="AJ146">
        <v>0.02</v>
      </c>
      <c r="AK146">
        <v>0.03</v>
      </c>
      <c r="AL146">
        <v>89.062694801598695</v>
      </c>
      <c r="AM146">
        <v>12676.041712649499</v>
      </c>
    </row>
    <row r="147" spans="1:39" x14ac:dyDescent="0.3">
      <c r="A147">
        <v>36013</v>
      </c>
      <c r="B147" t="s">
        <v>370</v>
      </c>
      <c r="C147">
        <v>3</v>
      </c>
      <c r="D147">
        <v>97</v>
      </c>
      <c r="K147">
        <v>6.84</v>
      </c>
      <c r="N147">
        <v>86.25</v>
      </c>
      <c r="O147">
        <v>10.75</v>
      </c>
      <c r="X147">
        <v>32.731875000000002</v>
      </c>
      <c r="Y147">
        <v>32.731875000000002</v>
      </c>
      <c r="AF147">
        <v>12000</v>
      </c>
      <c r="AG147">
        <v>0.272803699033208</v>
      </c>
      <c r="AI147">
        <v>0.2</v>
      </c>
      <c r="AJ147">
        <v>0.02</v>
      </c>
      <c r="AK147">
        <v>0.03</v>
      </c>
      <c r="AL147">
        <v>89.062694801598695</v>
      </c>
      <c r="AM147">
        <v>12333.1114539318</v>
      </c>
    </row>
    <row r="148" spans="1:39" x14ac:dyDescent="0.3">
      <c r="A148">
        <v>36014</v>
      </c>
      <c r="B148" t="s">
        <v>371</v>
      </c>
      <c r="C148">
        <v>3</v>
      </c>
      <c r="D148">
        <v>97</v>
      </c>
      <c r="K148">
        <v>6.84</v>
      </c>
      <c r="N148">
        <v>83.64</v>
      </c>
      <c r="O148">
        <v>13.36</v>
      </c>
      <c r="X148">
        <v>31.741379999999999</v>
      </c>
      <c r="Y148">
        <v>31.741379999999999</v>
      </c>
      <c r="AF148">
        <v>12000</v>
      </c>
      <c r="AG148">
        <v>0.272803699033208</v>
      </c>
      <c r="AI148">
        <v>0.2</v>
      </c>
      <c r="AJ148">
        <v>0.02</v>
      </c>
      <c r="AK148">
        <v>0.03</v>
      </c>
      <c r="AL148">
        <v>89.062694801598695</v>
      </c>
      <c r="AM148">
        <v>11961.722252582</v>
      </c>
    </row>
    <row r="149" spans="1:39" x14ac:dyDescent="0.3">
      <c r="A149">
        <v>36020</v>
      </c>
      <c r="B149" t="s">
        <v>372</v>
      </c>
      <c r="C149">
        <v>5</v>
      </c>
      <c r="D149">
        <v>95</v>
      </c>
      <c r="K149">
        <v>0.86</v>
      </c>
      <c r="N149">
        <v>95</v>
      </c>
      <c r="AF149">
        <v>10</v>
      </c>
    </row>
    <row r="150" spans="1:39" x14ac:dyDescent="0.3">
      <c r="A150">
        <v>36025</v>
      </c>
      <c r="B150" t="s">
        <v>21</v>
      </c>
      <c r="C150">
        <v>5</v>
      </c>
      <c r="D150">
        <v>95</v>
      </c>
      <c r="K150">
        <v>0.98</v>
      </c>
      <c r="N150">
        <v>95</v>
      </c>
      <c r="AF150">
        <v>1800</v>
      </c>
    </row>
    <row r="151" spans="1:39" x14ac:dyDescent="0.3">
      <c r="A151">
        <v>36026</v>
      </c>
      <c r="B151" t="s">
        <v>373</v>
      </c>
      <c r="C151">
        <v>5</v>
      </c>
      <c r="D151">
        <v>95</v>
      </c>
      <c r="K151">
        <v>7.54</v>
      </c>
      <c r="N151">
        <v>95</v>
      </c>
      <c r="AF151">
        <v>2500</v>
      </c>
    </row>
    <row r="152" spans="1:39" x14ac:dyDescent="0.3">
      <c r="A152">
        <v>36030</v>
      </c>
      <c r="B152" t="s">
        <v>374</v>
      </c>
      <c r="C152">
        <v>0.5</v>
      </c>
      <c r="D152">
        <v>99.5</v>
      </c>
      <c r="K152">
        <v>6.84</v>
      </c>
      <c r="O152">
        <v>99.5</v>
      </c>
      <c r="AF152">
        <v>10</v>
      </c>
    </row>
    <row r="153" spans="1:39" x14ac:dyDescent="0.3">
      <c r="A153">
        <v>36100</v>
      </c>
      <c r="B153" t="s">
        <v>375</v>
      </c>
      <c r="C153">
        <v>20</v>
      </c>
      <c r="D153">
        <v>80</v>
      </c>
      <c r="K153">
        <v>6.84</v>
      </c>
      <c r="N153">
        <v>80</v>
      </c>
      <c r="X153">
        <v>22.6</v>
      </c>
      <c r="Y153">
        <v>22.6</v>
      </c>
      <c r="AF153">
        <v>3000</v>
      </c>
      <c r="AM153">
        <v>-1109.39257592801</v>
      </c>
    </row>
    <row r="154" spans="1:39" x14ac:dyDescent="0.3">
      <c r="A154">
        <v>37000</v>
      </c>
      <c r="B154" t="s">
        <v>22</v>
      </c>
      <c r="C154">
        <v>2</v>
      </c>
      <c r="D154">
        <v>98</v>
      </c>
      <c r="K154">
        <v>6.84</v>
      </c>
      <c r="O154">
        <v>98</v>
      </c>
      <c r="AF154">
        <v>40</v>
      </c>
      <c r="AG154">
        <v>100</v>
      </c>
      <c r="AI154">
        <v>39</v>
      </c>
      <c r="AJ154">
        <v>61</v>
      </c>
      <c r="AL154">
        <v>-236.05490025670201</v>
      </c>
      <c r="AM154">
        <v>-178.253843968003</v>
      </c>
    </row>
    <row r="155" spans="1:39" x14ac:dyDescent="0.3">
      <c r="A155">
        <v>37001</v>
      </c>
      <c r="B155" t="s">
        <v>23</v>
      </c>
      <c r="C155">
        <v>3</v>
      </c>
      <c r="D155">
        <v>97</v>
      </c>
      <c r="K155">
        <v>6.84</v>
      </c>
      <c r="O155">
        <v>97</v>
      </c>
      <c r="AF155">
        <v>13000</v>
      </c>
      <c r="AG155">
        <v>34.615384615384599</v>
      </c>
      <c r="AH155">
        <v>72</v>
      </c>
      <c r="AI155">
        <v>27</v>
      </c>
      <c r="AL155">
        <v>11749.347258485601</v>
      </c>
      <c r="AM155">
        <v>11789.363374377799</v>
      </c>
    </row>
    <row r="156" spans="1:39" x14ac:dyDescent="0.3">
      <c r="A156">
        <v>37010</v>
      </c>
      <c r="B156" t="s">
        <v>376</v>
      </c>
      <c r="C156">
        <v>3</v>
      </c>
      <c r="D156">
        <v>97</v>
      </c>
      <c r="K156">
        <v>6.84</v>
      </c>
      <c r="O156">
        <v>97</v>
      </c>
      <c r="AF156">
        <v>17000</v>
      </c>
      <c r="AG156">
        <v>38.974358974358999</v>
      </c>
      <c r="AH156">
        <v>27</v>
      </c>
      <c r="AI156">
        <v>30.4</v>
      </c>
      <c r="AL156">
        <v>13228.894691035701</v>
      </c>
      <c r="AM156">
        <v>13273.9498733735</v>
      </c>
    </row>
    <row r="157" spans="1:39" x14ac:dyDescent="0.3">
      <c r="A157">
        <v>37020</v>
      </c>
      <c r="B157" t="s">
        <v>377</v>
      </c>
      <c r="C157">
        <v>3</v>
      </c>
      <c r="D157">
        <v>97</v>
      </c>
      <c r="K157">
        <v>6.84</v>
      </c>
      <c r="O157">
        <v>97</v>
      </c>
      <c r="AF157">
        <v>25</v>
      </c>
      <c r="AG157">
        <v>41.025641025641001</v>
      </c>
      <c r="AI157">
        <v>32</v>
      </c>
      <c r="AL157">
        <v>13925.1523063533</v>
      </c>
      <c r="AM157">
        <v>222.57881407740001</v>
      </c>
    </row>
    <row r="158" spans="1:39" x14ac:dyDescent="0.3">
      <c r="A158">
        <v>40000</v>
      </c>
      <c r="B158" t="s">
        <v>24</v>
      </c>
      <c r="C158">
        <v>6</v>
      </c>
      <c r="D158">
        <v>94</v>
      </c>
      <c r="K158">
        <v>6.84</v>
      </c>
      <c r="O158">
        <v>94</v>
      </c>
      <c r="AF158">
        <v>980</v>
      </c>
    </row>
    <row r="159" spans="1:39" x14ac:dyDescent="0.3">
      <c r="A159">
        <v>40010</v>
      </c>
      <c r="B159" t="s">
        <v>378</v>
      </c>
      <c r="C159">
        <v>6</v>
      </c>
      <c r="D159">
        <v>94</v>
      </c>
      <c r="K159">
        <v>6.84</v>
      </c>
      <c r="O159">
        <v>94</v>
      </c>
      <c r="AF159">
        <v>5000</v>
      </c>
    </row>
    <row r="160" spans="1:39" x14ac:dyDescent="0.3">
      <c r="A160">
        <v>40151</v>
      </c>
      <c r="B160" t="s">
        <v>379</v>
      </c>
      <c r="C160">
        <v>6</v>
      </c>
      <c r="D160">
        <v>94</v>
      </c>
      <c r="K160">
        <v>6.84</v>
      </c>
      <c r="O160">
        <v>94</v>
      </c>
      <c r="AF160">
        <v>5000</v>
      </c>
    </row>
    <row r="161" spans="1:85" x14ac:dyDescent="0.3">
      <c r="A161">
        <v>40152</v>
      </c>
      <c r="B161" t="s">
        <v>380</v>
      </c>
      <c r="C161">
        <v>6</v>
      </c>
      <c r="D161">
        <v>94</v>
      </c>
      <c r="K161">
        <v>6.84</v>
      </c>
      <c r="O161">
        <v>94</v>
      </c>
      <c r="AF161">
        <v>5000</v>
      </c>
    </row>
    <row r="162" spans="1:85" x14ac:dyDescent="0.3">
      <c r="A162">
        <v>40153</v>
      </c>
      <c r="B162" t="s">
        <v>381</v>
      </c>
      <c r="C162">
        <v>6</v>
      </c>
      <c r="D162">
        <v>94</v>
      </c>
      <c r="O162">
        <v>94</v>
      </c>
    </row>
    <row r="163" spans="1:85" x14ac:dyDescent="0.3">
      <c r="A163">
        <v>40154</v>
      </c>
      <c r="B163" t="s">
        <v>382</v>
      </c>
      <c r="C163">
        <v>6</v>
      </c>
      <c r="D163">
        <v>94</v>
      </c>
      <c r="O163">
        <v>94</v>
      </c>
    </row>
    <row r="164" spans="1:85" x14ac:dyDescent="0.3">
      <c r="A164">
        <v>40200</v>
      </c>
      <c r="B164" t="s">
        <v>383</v>
      </c>
      <c r="C164">
        <v>5</v>
      </c>
      <c r="D164">
        <v>95</v>
      </c>
      <c r="O164">
        <v>95</v>
      </c>
      <c r="X164">
        <v>18.33333</v>
      </c>
      <c r="Z164">
        <v>19.166665999999999</v>
      </c>
      <c r="AB164">
        <v>19.166665999999999</v>
      </c>
      <c r="AC164">
        <v>19.166665999999999</v>
      </c>
      <c r="AD164">
        <v>19.166665999999999</v>
      </c>
      <c r="AG164">
        <v>6.4102564102563999</v>
      </c>
      <c r="AI164">
        <v>5</v>
      </c>
      <c r="AL164">
        <v>2175.8050478677101</v>
      </c>
      <c r="AM164">
        <v>2183.2154396995902</v>
      </c>
      <c r="AP164">
        <v>29.7</v>
      </c>
      <c r="AQ164">
        <v>29.7</v>
      </c>
      <c r="AT164">
        <v>29.7</v>
      </c>
      <c r="AU164">
        <v>29.7</v>
      </c>
      <c r="CE164">
        <v>40000</v>
      </c>
      <c r="CG164">
        <v>40000</v>
      </c>
    </row>
    <row r="165" spans="1:85" x14ac:dyDescent="0.3">
      <c r="A165">
        <v>40201</v>
      </c>
      <c r="B165" t="s">
        <v>384</v>
      </c>
      <c r="C165">
        <v>5</v>
      </c>
      <c r="D165">
        <v>95</v>
      </c>
      <c r="O165">
        <v>95</v>
      </c>
      <c r="X165">
        <v>27.5</v>
      </c>
      <c r="Z165">
        <v>28.75</v>
      </c>
      <c r="AB165">
        <v>28.75</v>
      </c>
      <c r="AC165">
        <v>28.75</v>
      </c>
      <c r="AD165">
        <v>28.75</v>
      </c>
      <c r="AG165">
        <v>9.6153846153846008</v>
      </c>
      <c r="AI165">
        <v>7.5</v>
      </c>
      <c r="AL165">
        <v>3263.7075718015699</v>
      </c>
      <c r="AM165">
        <v>3274.8231595493799</v>
      </c>
      <c r="AP165">
        <v>24.75</v>
      </c>
      <c r="AQ165">
        <v>24.75</v>
      </c>
      <c r="AT165">
        <v>24.75</v>
      </c>
      <c r="AU165">
        <v>24.75</v>
      </c>
      <c r="CE165">
        <v>58590</v>
      </c>
      <c r="CG165">
        <v>58590</v>
      </c>
    </row>
    <row r="166" spans="1:85" x14ac:dyDescent="0.3">
      <c r="A166">
        <v>40202</v>
      </c>
      <c r="B166" t="s">
        <v>385</v>
      </c>
      <c r="C166">
        <v>5</v>
      </c>
      <c r="D166">
        <v>95</v>
      </c>
      <c r="O166">
        <v>95</v>
      </c>
      <c r="X166">
        <v>27.5</v>
      </c>
      <c r="Z166">
        <v>12.32</v>
      </c>
      <c r="AB166">
        <v>12.32</v>
      </c>
      <c r="AC166">
        <v>12.32</v>
      </c>
      <c r="AD166">
        <v>12.32</v>
      </c>
      <c r="AG166">
        <v>9.6153846153846008</v>
      </c>
      <c r="AI166">
        <v>7.5</v>
      </c>
      <c r="AL166">
        <v>3263.7075718015699</v>
      </c>
      <c r="AM166">
        <v>3274.8231595493799</v>
      </c>
      <c r="AP166">
        <v>19.8</v>
      </c>
      <c r="AQ166">
        <v>19.8</v>
      </c>
      <c r="AT166">
        <v>19.8</v>
      </c>
      <c r="AU166">
        <v>19.8</v>
      </c>
      <c r="CE166">
        <v>84630</v>
      </c>
      <c r="CG166">
        <v>84630</v>
      </c>
    </row>
    <row r="167" spans="1:85" x14ac:dyDescent="0.3">
      <c r="A167">
        <v>40203</v>
      </c>
      <c r="B167" t="s">
        <v>386</v>
      </c>
      <c r="C167">
        <v>5</v>
      </c>
      <c r="D167">
        <v>95</v>
      </c>
      <c r="O167">
        <v>95</v>
      </c>
      <c r="X167">
        <v>16.5</v>
      </c>
      <c r="Z167">
        <v>17.25</v>
      </c>
      <c r="AB167">
        <v>17.25</v>
      </c>
      <c r="AC167">
        <v>17.25</v>
      </c>
      <c r="AD167">
        <v>17.25</v>
      </c>
      <c r="AG167">
        <v>9.6153846153846008</v>
      </c>
      <c r="AI167">
        <v>7.5</v>
      </c>
      <c r="AL167">
        <v>3263.7075718015699</v>
      </c>
      <c r="AM167">
        <v>3274.8231595493799</v>
      </c>
      <c r="AP167">
        <v>12.375</v>
      </c>
      <c r="AQ167">
        <v>12.375</v>
      </c>
      <c r="AT167">
        <v>12.375</v>
      </c>
      <c r="AU167">
        <v>12.375</v>
      </c>
      <c r="CE167">
        <v>84630</v>
      </c>
      <c r="CG167">
        <v>84630</v>
      </c>
    </row>
    <row r="168" spans="1:85" x14ac:dyDescent="0.3">
      <c r="A168">
        <v>40204</v>
      </c>
      <c r="B168" t="s">
        <v>387</v>
      </c>
      <c r="C168">
        <v>5</v>
      </c>
      <c r="D168">
        <v>95</v>
      </c>
      <c r="O168">
        <v>95</v>
      </c>
      <c r="X168">
        <v>16.5</v>
      </c>
      <c r="Z168">
        <v>17.25</v>
      </c>
      <c r="AB168">
        <v>17.25</v>
      </c>
      <c r="AC168">
        <v>17.25</v>
      </c>
      <c r="AD168">
        <v>17.25</v>
      </c>
      <c r="AG168">
        <v>9.6153846153846008</v>
      </c>
      <c r="AI168">
        <v>7.5</v>
      </c>
      <c r="AL168">
        <v>3263.7075718015699</v>
      </c>
      <c r="AM168">
        <v>3274.8231595493799</v>
      </c>
      <c r="AP168">
        <v>9.9</v>
      </c>
      <c r="AQ168">
        <v>9.9</v>
      </c>
      <c r="AT168">
        <v>9.9</v>
      </c>
      <c r="AU168">
        <v>9.9</v>
      </c>
      <c r="CE168">
        <v>84630</v>
      </c>
      <c r="CG168">
        <v>84630</v>
      </c>
    </row>
    <row r="169" spans="1:85" x14ac:dyDescent="0.3">
      <c r="A169">
        <v>40205</v>
      </c>
      <c r="B169" t="s">
        <v>388</v>
      </c>
      <c r="C169">
        <v>5</v>
      </c>
      <c r="D169">
        <v>95</v>
      </c>
      <c r="E169">
        <v>22</v>
      </c>
      <c r="O169">
        <v>73</v>
      </c>
      <c r="AN169">
        <v>15</v>
      </c>
      <c r="AO169">
        <v>15</v>
      </c>
      <c r="AP169">
        <v>12</v>
      </c>
      <c r="AQ169">
        <v>12</v>
      </c>
      <c r="AT169">
        <v>12</v>
      </c>
      <c r="AU169">
        <v>12</v>
      </c>
      <c r="CE169">
        <v>72000</v>
      </c>
      <c r="CG169">
        <v>72000</v>
      </c>
    </row>
    <row r="170" spans="1:85" x14ac:dyDescent="0.3">
      <c r="A170">
        <v>40510</v>
      </c>
      <c r="B170" t="s">
        <v>389</v>
      </c>
      <c r="C170">
        <v>6</v>
      </c>
      <c r="D170">
        <v>94</v>
      </c>
      <c r="O170">
        <v>94</v>
      </c>
    </row>
    <row r="171" spans="1:85" x14ac:dyDescent="0.3">
      <c r="A171">
        <v>40515</v>
      </c>
      <c r="B171" t="s">
        <v>390</v>
      </c>
      <c r="C171">
        <v>6</v>
      </c>
      <c r="D171">
        <v>94</v>
      </c>
      <c r="O171">
        <v>94</v>
      </c>
    </row>
    <row r="172" spans="1:85" x14ac:dyDescent="0.3">
      <c r="A172">
        <v>45000</v>
      </c>
      <c r="B172" t="s">
        <v>25</v>
      </c>
      <c r="C172">
        <v>1</v>
      </c>
      <c r="D172">
        <v>99</v>
      </c>
      <c r="E172">
        <v>95.8</v>
      </c>
      <c r="K172">
        <v>6.84</v>
      </c>
      <c r="O172">
        <v>3.2</v>
      </c>
      <c r="AF172">
        <v>145</v>
      </c>
      <c r="AG172">
        <v>16.393442622950801</v>
      </c>
      <c r="AJ172">
        <v>20</v>
      </c>
      <c r="AL172">
        <v>-5641.7489421720702</v>
      </c>
      <c r="AM172">
        <v>-5641.7489421720702</v>
      </c>
      <c r="AN172">
        <v>78.5</v>
      </c>
      <c r="AO172">
        <v>78.5</v>
      </c>
    </row>
    <row r="173" spans="1:85" x14ac:dyDescent="0.3">
      <c r="A173">
        <v>45010</v>
      </c>
      <c r="B173" t="s">
        <v>391</v>
      </c>
      <c r="C173">
        <v>35</v>
      </c>
      <c r="D173">
        <v>65</v>
      </c>
      <c r="E173">
        <v>62.9</v>
      </c>
      <c r="K173">
        <v>6.84</v>
      </c>
      <c r="O173">
        <v>2.1</v>
      </c>
      <c r="AF173">
        <v>100</v>
      </c>
      <c r="AG173">
        <v>10.655737704918</v>
      </c>
      <c r="AJ173">
        <v>13</v>
      </c>
      <c r="AL173">
        <v>-3667.1368124118499</v>
      </c>
      <c r="AM173">
        <v>-3667.1368124118499</v>
      </c>
      <c r="AN173">
        <v>51</v>
      </c>
      <c r="AO173">
        <v>51</v>
      </c>
    </row>
    <row r="174" spans="1:85" x14ac:dyDescent="0.3">
      <c r="A174">
        <v>45020</v>
      </c>
      <c r="B174" t="s">
        <v>392</v>
      </c>
      <c r="C174">
        <v>5</v>
      </c>
      <c r="D174">
        <v>95</v>
      </c>
      <c r="E174">
        <v>80</v>
      </c>
      <c r="K174">
        <v>6.84</v>
      </c>
      <c r="O174">
        <v>15</v>
      </c>
      <c r="AF174">
        <v>85</v>
      </c>
      <c r="AN174">
        <v>54.6</v>
      </c>
      <c r="AO174">
        <v>54.6</v>
      </c>
      <c r="AP174">
        <v>0.21328</v>
      </c>
      <c r="AQ174">
        <v>0.21328</v>
      </c>
      <c r="AR174">
        <v>0.10664</v>
      </c>
      <c r="AS174">
        <v>0.10664</v>
      </c>
      <c r="AT174">
        <v>0.31991999999999998</v>
      </c>
      <c r="AU174">
        <v>0.31991999999999998</v>
      </c>
      <c r="AV174">
        <v>0.42664000000000002</v>
      </c>
      <c r="AW174">
        <v>0.42664000000000002</v>
      </c>
      <c r="AX174">
        <v>0.14932799999999999</v>
      </c>
      <c r="AY174">
        <v>0.14932799999999999</v>
      </c>
      <c r="AZ174">
        <v>0.42666399999999999</v>
      </c>
      <c r="BA174">
        <v>0.42666399999999999</v>
      </c>
      <c r="BB174">
        <v>0.74666399999999999</v>
      </c>
      <c r="BC174">
        <v>0.74666399999999999</v>
      </c>
      <c r="BD174">
        <v>0.74666639999999995</v>
      </c>
      <c r="BE174">
        <v>0.74666639999999995</v>
      </c>
      <c r="BH174">
        <v>0.64</v>
      </c>
      <c r="BI174">
        <v>0.64</v>
      </c>
    </row>
    <row r="175" spans="1:85" x14ac:dyDescent="0.3">
      <c r="A175">
        <v>45050</v>
      </c>
      <c r="B175" t="s">
        <v>26</v>
      </c>
      <c r="C175">
        <v>1</v>
      </c>
      <c r="D175">
        <v>99</v>
      </c>
      <c r="E175">
        <v>58.1</v>
      </c>
      <c r="K175">
        <v>6.84</v>
      </c>
      <c r="O175">
        <v>40.9</v>
      </c>
      <c r="AF175">
        <v>260</v>
      </c>
      <c r="AP175">
        <v>99</v>
      </c>
      <c r="AQ175">
        <v>99</v>
      </c>
      <c r="AT175">
        <v>99</v>
      </c>
      <c r="AU175">
        <v>99</v>
      </c>
    </row>
    <row r="176" spans="1:85" x14ac:dyDescent="0.3">
      <c r="A176">
        <v>45060</v>
      </c>
      <c r="B176" t="s">
        <v>393</v>
      </c>
      <c r="C176">
        <v>12</v>
      </c>
      <c r="D176">
        <v>88</v>
      </c>
      <c r="K176">
        <v>6.84</v>
      </c>
      <c r="O176">
        <v>88</v>
      </c>
      <c r="AF176">
        <v>150</v>
      </c>
      <c r="AP176">
        <v>88</v>
      </c>
      <c r="AQ176">
        <v>88</v>
      </c>
      <c r="AT176">
        <v>88</v>
      </c>
      <c r="AU176">
        <v>88</v>
      </c>
    </row>
    <row r="177" spans="1:72" x14ac:dyDescent="0.3">
      <c r="A177">
        <v>45070</v>
      </c>
      <c r="B177" t="s">
        <v>394</v>
      </c>
      <c r="C177">
        <v>8</v>
      </c>
      <c r="D177">
        <v>92</v>
      </c>
      <c r="K177">
        <v>6.84</v>
      </c>
      <c r="O177">
        <v>92</v>
      </c>
      <c r="AF177">
        <v>175</v>
      </c>
      <c r="AP177">
        <v>84</v>
      </c>
      <c r="AQ177">
        <v>84</v>
      </c>
      <c r="AT177">
        <v>84</v>
      </c>
      <c r="AU177">
        <v>84</v>
      </c>
    </row>
    <row r="178" spans="1:72" x14ac:dyDescent="0.3">
      <c r="A178">
        <v>45100</v>
      </c>
      <c r="B178" t="s">
        <v>27</v>
      </c>
      <c r="C178">
        <v>2</v>
      </c>
      <c r="D178">
        <v>98</v>
      </c>
      <c r="E178">
        <v>72</v>
      </c>
      <c r="K178">
        <v>6.84</v>
      </c>
      <c r="O178">
        <v>26</v>
      </c>
      <c r="AF178">
        <v>280</v>
      </c>
      <c r="AV178">
        <v>98.5</v>
      </c>
      <c r="AW178">
        <v>98.5</v>
      </c>
    </row>
    <row r="179" spans="1:72" x14ac:dyDescent="0.3">
      <c r="A179">
        <v>45150</v>
      </c>
      <c r="B179" t="s">
        <v>395</v>
      </c>
      <c r="C179">
        <v>2</v>
      </c>
      <c r="D179">
        <v>98</v>
      </c>
      <c r="E179">
        <v>85.7</v>
      </c>
      <c r="K179">
        <v>6.84</v>
      </c>
      <c r="O179">
        <v>12.3</v>
      </c>
      <c r="AF179">
        <v>280</v>
      </c>
      <c r="AX179">
        <v>60</v>
      </c>
      <c r="AY179">
        <v>60</v>
      </c>
    </row>
    <row r="180" spans="1:72" x14ac:dyDescent="0.3">
      <c r="A180">
        <v>45200</v>
      </c>
      <c r="B180" t="s">
        <v>396</v>
      </c>
      <c r="C180">
        <v>1</v>
      </c>
      <c r="D180">
        <v>99</v>
      </c>
      <c r="K180">
        <v>6.84</v>
      </c>
      <c r="O180">
        <v>99</v>
      </c>
      <c r="AF180">
        <v>280</v>
      </c>
      <c r="AR180">
        <v>99</v>
      </c>
      <c r="AS180">
        <v>99</v>
      </c>
      <c r="AT180">
        <v>99</v>
      </c>
      <c r="AU180">
        <v>99</v>
      </c>
    </row>
    <row r="181" spans="1:72" x14ac:dyDescent="0.3">
      <c r="A181">
        <v>45250</v>
      </c>
      <c r="B181" t="s">
        <v>28</v>
      </c>
      <c r="C181">
        <v>1</v>
      </c>
      <c r="D181">
        <v>99</v>
      </c>
      <c r="E181">
        <v>78</v>
      </c>
      <c r="K181">
        <v>6.84</v>
      </c>
      <c r="O181">
        <v>21</v>
      </c>
      <c r="AF181">
        <v>280</v>
      </c>
      <c r="BD181">
        <v>96.5</v>
      </c>
      <c r="BE181">
        <v>96.5</v>
      </c>
    </row>
    <row r="182" spans="1:72" x14ac:dyDescent="0.3">
      <c r="A182">
        <v>45300</v>
      </c>
      <c r="B182" t="s">
        <v>29</v>
      </c>
      <c r="C182">
        <v>1</v>
      </c>
      <c r="D182">
        <v>99</v>
      </c>
      <c r="K182">
        <v>6.84</v>
      </c>
      <c r="O182">
        <v>99</v>
      </c>
      <c r="AF182">
        <v>280</v>
      </c>
      <c r="BH182">
        <v>98.5</v>
      </c>
      <c r="BI182">
        <v>98.5</v>
      </c>
    </row>
    <row r="183" spans="1:72" x14ac:dyDescent="0.3">
      <c r="A183">
        <v>45302</v>
      </c>
      <c r="B183" t="s">
        <v>397</v>
      </c>
      <c r="C183">
        <v>1</v>
      </c>
      <c r="D183">
        <v>99</v>
      </c>
      <c r="K183">
        <v>6.84</v>
      </c>
      <c r="O183">
        <v>99</v>
      </c>
      <c r="AF183">
        <v>140</v>
      </c>
      <c r="BH183">
        <v>99</v>
      </c>
      <c r="BI183">
        <v>99</v>
      </c>
    </row>
    <row r="184" spans="1:72" x14ac:dyDescent="0.3">
      <c r="A184">
        <v>45350</v>
      </c>
      <c r="B184" t="s">
        <v>30</v>
      </c>
      <c r="C184">
        <v>1</v>
      </c>
      <c r="D184">
        <v>99</v>
      </c>
      <c r="K184">
        <v>6.84</v>
      </c>
      <c r="O184">
        <v>99</v>
      </c>
      <c r="AF184">
        <v>280</v>
      </c>
      <c r="AZ184">
        <v>90</v>
      </c>
      <c r="BA184">
        <v>90</v>
      </c>
    </row>
    <row r="185" spans="1:72" x14ac:dyDescent="0.3">
      <c r="A185">
        <v>45400</v>
      </c>
      <c r="B185" t="s">
        <v>398</v>
      </c>
      <c r="C185">
        <v>1</v>
      </c>
      <c r="D185">
        <v>99</v>
      </c>
      <c r="K185">
        <v>6.84</v>
      </c>
      <c r="O185">
        <v>99</v>
      </c>
      <c r="AF185">
        <v>280</v>
      </c>
      <c r="BB185">
        <v>99</v>
      </c>
      <c r="BC185">
        <v>99</v>
      </c>
    </row>
    <row r="186" spans="1:72" x14ac:dyDescent="0.3">
      <c r="A186">
        <v>45425</v>
      </c>
      <c r="B186" t="s">
        <v>399</v>
      </c>
      <c r="C186">
        <v>1</v>
      </c>
      <c r="D186">
        <v>99</v>
      </c>
      <c r="E186">
        <v>70.25</v>
      </c>
      <c r="K186">
        <v>6.84</v>
      </c>
      <c r="O186">
        <v>28.75</v>
      </c>
      <c r="AF186">
        <v>280</v>
      </c>
      <c r="BT186">
        <v>99</v>
      </c>
    </row>
    <row r="187" spans="1:72" x14ac:dyDescent="0.3">
      <c r="A187">
        <v>45450</v>
      </c>
      <c r="B187" t="s">
        <v>400</v>
      </c>
      <c r="C187">
        <v>1</v>
      </c>
      <c r="D187">
        <v>99</v>
      </c>
      <c r="K187">
        <v>6.84</v>
      </c>
      <c r="O187">
        <v>99</v>
      </c>
      <c r="AF187">
        <v>150</v>
      </c>
      <c r="BB187">
        <v>99</v>
      </c>
    </row>
    <row r="188" spans="1:72" x14ac:dyDescent="0.3">
      <c r="A188">
        <v>45500</v>
      </c>
      <c r="B188" t="s">
        <v>401</v>
      </c>
      <c r="C188">
        <v>2</v>
      </c>
      <c r="D188">
        <v>98</v>
      </c>
      <c r="K188">
        <v>6.84</v>
      </c>
      <c r="O188">
        <v>98</v>
      </c>
      <c r="AF188">
        <v>100</v>
      </c>
      <c r="BI188">
        <v>60</v>
      </c>
    </row>
    <row r="189" spans="1:72" x14ac:dyDescent="0.3">
      <c r="A189">
        <v>45502</v>
      </c>
      <c r="B189" t="s">
        <v>402</v>
      </c>
      <c r="C189">
        <v>2</v>
      </c>
      <c r="D189">
        <v>98</v>
      </c>
      <c r="K189">
        <v>6.84</v>
      </c>
      <c r="O189">
        <v>98</v>
      </c>
      <c r="AF189">
        <v>100</v>
      </c>
      <c r="BI189">
        <v>60</v>
      </c>
    </row>
    <row r="190" spans="1:72" x14ac:dyDescent="0.3">
      <c r="A190">
        <v>45503</v>
      </c>
      <c r="B190" t="s">
        <v>403</v>
      </c>
      <c r="C190">
        <v>2</v>
      </c>
      <c r="D190">
        <v>98</v>
      </c>
      <c r="K190">
        <v>6.84</v>
      </c>
      <c r="O190">
        <v>98</v>
      </c>
      <c r="AF190">
        <v>100</v>
      </c>
      <c r="BI190">
        <v>60</v>
      </c>
    </row>
    <row r="191" spans="1:72" x14ac:dyDescent="0.3">
      <c r="A191">
        <v>45504</v>
      </c>
      <c r="B191" t="s">
        <v>404</v>
      </c>
      <c r="C191">
        <v>2</v>
      </c>
      <c r="D191">
        <v>98</v>
      </c>
      <c r="K191">
        <v>6.84</v>
      </c>
      <c r="O191">
        <v>98</v>
      </c>
      <c r="AF191">
        <v>100</v>
      </c>
      <c r="BI191">
        <v>60</v>
      </c>
    </row>
    <row r="192" spans="1:72" x14ac:dyDescent="0.3">
      <c r="A192">
        <v>45505</v>
      </c>
      <c r="B192" t="s">
        <v>405</v>
      </c>
      <c r="C192">
        <v>2</v>
      </c>
      <c r="D192">
        <v>98</v>
      </c>
      <c r="K192">
        <v>6.84</v>
      </c>
      <c r="O192">
        <v>98</v>
      </c>
      <c r="AF192">
        <v>100</v>
      </c>
      <c r="BI192">
        <v>60</v>
      </c>
    </row>
    <row r="193" spans="1:85" x14ac:dyDescent="0.3">
      <c r="A193">
        <v>45510</v>
      </c>
      <c r="B193" t="s">
        <v>406</v>
      </c>
      <c r="C193">
        <v>1</v>
      </c>
      <c r="D193">
        <v>99</v>
      </c>
      <c r="K193">
        <v>6.84</v>
      </c>
      <c r="O193">
        <v>99</v>
      </c>
      <c r="AF193">
        <v>100</v>
      </c>
    </row>
    <row r="194" spans="1:85" x14ac:dyDescent="0.3">
      <c r="A194">
        <v>45511</v>
      </c>
      <c r="B194" t="s">
        <v>407</v>
      </c>
      <c r="C194">
        <v>1</v>
      </c>
      <c r="D194">
        <v>99</v>
      </c>
      <c r="K194">
        <v>6.84</v>
      </c>
      <c r="O194">
        <v>99</v>
      </c>
      <c r="AF194">
        <v>100</v>
      </c>
    </row>
    <row r="195" spans="1:85" x14ac:dyDescent="0.3">
      <c r="A195">
        <v>45512</v>
      </c>
      <c r="B195" t="s">
        <v>408</v>
      </c>
      <c r="C195">
        <v>1</v>
      </c>
      <c r="D195">
        <v>99</v>
      </c>
      <c r="K195">
        <v>6.84</v>
      </c>
      <c r="O195">
        <v>99</v>
      </c>
      <c r="AF195">
        <v>100</v>
      </c>
    </row>
    <row r="196" spans="1:85" x14ac:dyDescent="0.3">
      <c r="A196">
        <v>45513</v>
      </c>
      <c r="B196" t="s">
        <v>409</v>
      </c>
      <c r="C196">
        <v>1</v>
      </c>
      <c r="D196">
        <v>99</v>
      </c>
      <c r="K196">
        <v>6.84</v>
      </c>
      <c r="O196">
        <v>99</v>
      </c>
      <c r="AF196">
        <v>100</v>
      </c>
    </row>
    <row r="197" spans="1:85" x14ac:dyDescent="0.3">
      <c r="A197">
        <v>48000</v>
      </c>
      <c r="B197" t="s">
        <v>410</v>
      </c>
      <c r="C197">
        <v>16.66</v>
      </c>
      <c r="D197">
        <v>83.34</v>
      </c>
      <c r="K197">
        <v>6.84</v>
      </c>
      <c r="O197">
        <v>83.34</v>
      </c>
      <c r="AF197">
        <v>1400</v>
      </c>
      <c r="AG197">
        <v>10.4098360655737</v>
      </c>
      <c r="AJ197">
        <v>12.7</v>
      </c>
      <c r="AL197">
        <v>-3582.5105782792698</v>
      </c>
      <c r="AM197">
        <v>-3582.5105782792698</v>
      </c>
      <c r="CE197">
        <v>373000</v>
      </c>
      <c r="CG197">
        <v>373000</v>
      </c>
    </row>
    <row r="198" spans="1:85" x14ac:dyDescent="0.3">
      <c r="A198">
        <v>48010</v>
      </c>
      <c r="B198" t="s">
        <v>411</v>
      </c>
      <c r="C198">
        <v>20</v>
      </c>
      <c r="D198">
        <v>80</v>
      </c>
      <c r="K198">
        <v>6.84</v>
      </c>
      <c r="O198">
        <v>80</v>
      </c>
      <c r="AF198">
        <v>1400</v>
      </c>
      <c r="AG198">
        <v>12.4918032786886</v>
      </c>
      <c r="AJ198">
        <v>15.24</v>
      </c>
      <c r="AL198">
        <v>-4299.0126939351203</v>
      </c>
      <c r="AM198">
        <v>-4299.0126939351203</v>
      </c>
      <c r="CE198">
        <v>447600</v>
      </c>
      <c r="CG198">
        <v>447600</v>
      </c>
    </row>
    <row r="199" spans="1:85" x14ac:dyDescent="0.3">
      <c r="A199">
        <v>48020</v>
      </c>
      <c r="B199" t="s">
        <v>412</v>
      </c>
      <c r="C199">
        <v>23</v>
      </c>
      <c r="D199">
        <v>77</v>
      </c>
      <c r="K199">
        <v>6.84</v>
      </c>
      <c r="O199">
        <v>77</v>
      </c>
      <c r="AF199">
        <v>1400</v>
      </c>
      <c r="AG199">
        <v>14.5737704918033</v>
      </c>
      <c r="AJ199">
        <v>17.78</v>
      </c>
      <c r="AL199">
        <v>-5015.5148095909699</v>
      </c>
      <c r="AM199">
        <v>-5015.5148095909699</v>
      </c>
      <c r="CE199">
        <v>522200</v>
      </c>
      <c r="CG199">
        <v>522200</v>
      </c>
    </row>
    <row r="200" spans="1:85" x14ac:dyDescent="0.3">
      <c r="A200">
        <v>48030</v>
      </c>
      <c r="B200" t="s">
        <v>413</v>
      </c>
      <c r="C200">
        <v>25</v>
      </c>
      <c r="D200">
        <v>75</v>
      </c>
      <c r="K200">
        <v>6.84</v>
      </c>
      <c r="O200">
        <v>75</v>
      </c>
      <c r="AF200">
        <v>1400</v>
      </c>
      <c r="AG200">
        <v>15.6147540983607</v>
      </c>
      <c r="AJ200">
        <v>19.05</v>
      </c>
      <c r="AL200">
        <v>-5373.7658674188997</v>
      </c>
      <c r="AM200">
        <v>-5373.7658674188997</v>
      </c>
      <c r="CE200">
        <v>559500</v>
      </c>
      <c r="CG200">
        <v>559500</v>
      </c>
    </row>
    <row r="201" spans="1:85" x14ac:dyDescent="0.3">
      <c r="A201">
        <v>48040</v>
      </c>
      <c r="B201" t="s">
        <v>414</v>
      </c>
      <c r="C201">
        <v>6</v>
      </c>
      <c r="D201">
        <v>94</v>
      </c>
      <c r="K201">
        <v>6.84</v>
      </c>
      <c r="O201">
        <v>94</v>
      </c>
      <c r="AF201">
        <v>800</v>
      </c>
      <c r="CE201">
        <v>411000</v>
      </c>
      <c r="CG201">
        <v>411000</v>
      </c>
    </row>
    <row r="202" spans="1:85" x14ac:dyDescent="0.3">
      <c r="A202">
        <v>48050</v>
      </c>
      <c r="B202" t="s">
        <v>415</v>
      </c>
      <c r="C202">
        <v>6</v>
      </c>
      <c r="D202">
        <v>94</v>
      </c>
      <c r="K202">
        <v>6.84</v>
      </c>
      <c r="O202">
        <v>94</v>
      </c>
      <c r="AF202">
        <v>80</v>
      </c>
      <c r="CE202">
        <v>2000000</v>
      </c>
      <c r="CG202">
        <v>2000000</v>
      </c>
    </row>
    <row r="203" spans="1:85" x14ac:dyDescent="0.3">
      <c r="A203">
        <v>48052</v>
      </c>
      <c r="B203" t="s">
        <v>416</v>
      </c>
      <c r="C203">
        <v>6</v>
      </c>
      <c r="D203">
        <v>94</v>
      </c>
      <c r="K203">
        <v>6.84</v>
      </c>
      <c r="O203">
        <v>94</v>
      </c>
      <c r="AF203">
        <v>80</v>
      </c>
      <c r="CE203">
        <v>2720000</v>
      </c>
      <c r="CG203">
        <v>2720000</v>
      </c>
    </row>
    <row r="204" spans="1:85" x14ac:dyDescent="0.3">
      <c r="A204">
        <v>48054</v>
      </c>
      <c r="B204" t="s">
        <v>417</v>
      </c>
      <c r="C204">
        <v>6</v>
      </c>
      <c r="D204">
        <v>94</v>
      </c>
      <c r="K204">
        <v>6.84</v>
      </c>
      <c r="O204">
        <v>94</v>
      </c>
      <c r="AF204">
        <v>80</v>
      </c>
      <c r="CE204">
        <v>1920000</v>
      </c>
      <c r="CG204">
        <v>1920000</v>
      </c>
    </row>
    <row r="205" spans="1:85" x14ac:dyDescent="0.3">
      <c r="A205">
        <v>48056</v>
      </c>
      <c r="B205" t="s">
        <v>418</v>
      </c>
      <c r="C205">
        <v>6</v>
      </c>
      <c r="D205">
        <v>94</v>
      </c>
      <c r="K205">
        <v>6.84</v>
      </c>
      <c r="O205">
        <v>94</v>
      </c>
      <c r="AF205">
        <v>80</v>
      </c>
      <c r="CE205">
        <v>2220000</v>
      </c>
      <c r="CG205">
        <v>2220000</v>
      </c>
    </row>
    <row r="206" spans="1:85" x14ac:dyDescent="0.3">
      <c r="A206">
        <v>48060</v>
      </c>
      <c r="B206" t="s">
        <v>419</v>
      </c>
      <c r="C206">
        <v>1</v>
      </c>
      <c r="D206">
        <v>99</v>
      </c>
      <c r="K206">
        <v>6.84</v>
      </c>
      <c r="O206">
        <v>99</v>
      </c>
      <c r="AF206">
        <v>280</v>
      </c>
    </row>
    <row r="207" spans="1:85" x14ac:dyDescent="0.3">
      <c r="A207">
        <v>48065</v>
      </c>
      <c r="B207" t="s">
        <v>420</v>
      </c>
      <c r="C207">
        <v>1</v>
      </c>
      <c r="D207">
        <v>99</v>
      </c>
      <c r="K207">
        <v>6.84</v>
      </c>
      <c r="O207">
        <v>99</v>
      </c>
      <c r="AF207">
        <v>80</v>
      </c>
    </row>
    <row r="208" spans="1:85" x14ac:dyDescent="0.3">
      <c r="A208">
        <v>60000</v>
      </c>
      <c r="B208" t="s">
        <v>421</v>
      </c>
      <c r="C208">
        <v>5</v>
      </c>
      <c r="D208">
        <v>95</v>
      </c>
      <c r="O208">
        <v>95</v>
      </c>
    </row>
    <row r="209" spans="1:39" x14ac:dyDescent="0.3">
      <c r="A209">
        <v>60010</v>
      </c>
      <c r="B209" t="s">
        <v>422</v>
      </c>
      <c r="D209">
        <v>100</v>
      </c>
      <c r="O209">
        <v>100</v>
      </c>
      <c r="AG209">
        <v>54.262295081966997</v>
      </c>
      <c r="AJ209">
        <v>66.2</v>
      </c>
      <c r="AM209">
        <v>-186.74188998589599</v>
      </c>
    </row>
    <row r="210" spans="1:39" x14ac:dyDescent="0.3">
      <c r="A210">
        <v>60011</v>
      </c>
      <c r="B210" t="s">
        <v>423</v>
      </c>
      <c r="D210">
        <v>100</v>
      </c>
      <c r="O210">
        <v>100</v>
      </c>
      <c r="AG210">
        <v>19.836065573770501</v>
      </c>
      <c r="AJ210">
        <v>24.2</v>
      </c>
      <c r="AM210">
        <v>-68.265162200282106</v>
      </c>
    </row>
    <row r="211" spans="1:39" x14ac:dyDescent="0.3">
      <c r="A211">
        <v>60015</v>
      </c>
      <c r="B211" t="s">
        <v>424</v>
      </c>
      <c r="D211">
        <v>100</v>
      </c>
      <c r="O211">
        <v>100</v>
      </c>
      <c r="AM211">
        <v>-49375</v>
      </c>
    </row>
    <row r="212" spans="1:39" x14ac:dyDescent="0.3">
      <c r="A212">
        <v>60020</v>
      </c>
      <c r="B212" t="s">
        <v>425</v>
      </c>
      <c r="D212">
        <v>100</v>
      </c>
      <c r="O212">
        <v>100</v>
      </c>
    </row>
    <row r="213" spans="1:39" x14ac:dyDescent="0.3">
      <c r="A213">
        <v>60021</v>
      </c>
      <c r="B213" t="s">
        <v>426</v>
      </c>
      <c r="D213">
        <v>100</v>
      </c>
      <c r="K213">
        <v>6.84</v>
      </c>
      <c r="O213">
        <v>100</v>
      </c>
      <c r="AF213">
        <v>1330</v>
      </c>
    </row>
    <row r="214" spans="1:39" x14ac:dyDescent="0.3">
      <c r="A214">
        <v>60022</v>
      </c>
      <c r="B214" t="s">
        <v>427</v>
      </c>
      <c r="D214">
        <v>100</v>
      </c>
      <c r="K214">
        <v>6.84</v>
      </c>
      <c r="O214">
        <v>100</v>
      </c>
      <c r="AF214">
        <v>1330</v>
      </c>
    </row>
    <row r="215" spans="1:39" x14ac:dyDescent="0.3">
      <c r="A215">
        <v>60023</v>
      </c>
      <c r="B215" t="s">
        <v>428</v>
      </c>
      <c r="D215">
        <v>100</v>
      </c>
      <c r="K215">
        <v>6.84</v>
      </c>
      <c r="O215">
        <v>100</v>
      </c>
      <c r="AF215">
        <v>1500</v>
      </c>
      <c r="AG215">
        <v>15.5737704918033</v>
      </c>
      <c r="AJ215">
        <v>19</v>
      </c>
      <c r="AL215">
        <v>-5359.6614950634703</v>
      </c>
      <c r="AM215">
        <v>-5359.6614950634703</v>
      </c>
    </row>
    <row r="216" spans="1:39" x14ac:dyDescent="0.3">
      <c r="A216">
        <v>60030</v>
      </c>
      <c r="B216" t="s">
        <v>429</v>
      </c>
      <c r="D216">
        <v>100</v>
      </c>
      <c r="K216">
        <v>6.84</v>
      </c>
      <c r="O216">
        <v>100</v>
      </c>
      <c r="AF216">
        <v>100</v>
      </c>
      <c r="AM216">
        <v>-61250</v>
      </c>
    </row>
    <row r="217" spans="1:39" x14ac:dyDescent="0.3">
      <c r="A217">
        <v>60031</v>
      </c>
      <c r="B217" t="s">
        <v>430</v>
      </c>
      <c r="D217">
        <v>100</v>
      </c>
      <c r="K217">
        <v>6.84</v>
      </c>
      <c r="O217">
        <v>100</v>
      </c>
      <c r="AF217">
        <v>100</v>
      </c>
      <c r="AM217">
        <v>-43750</v>
      </c>
    </row>
    <row r="218" spans="1:39" x14ac:dyDescent="0.3">
      <c r="A218">
        <v>60040</v>
      </c>
      <c r="B218" t="s">
        <v>431</v>
      </c>
      <c r="D218">
        <v>100</v>
      </c>
      <c r="K218">
        <v>6.84</v>
      </c>
      <c r="O218">
        <v>100</v>
      </c>
      <c r="AF218">
        <v>90</v>
      </c>
    </row>
    <row r="219" spans="1:39" x14ac:dyDescent="0.3">
      <c r="A219">
        <v>60050</v>
      </c>
      <c r="B219" t="s">
        <v>432</v>
      </c>
      <c r="D219">
        <v>100</v>
      </c>
      <c r="O219">
        <v>100</v>
      </c>
    </row>
    <row r="220" spans="1:39" x14ac:dyDescent="0.3">
      <c r="A220">
        <v>60051</v>
      </c>
      <c r="B220" t="s">
        <v>433</v>
      </c>
      <c r="D220">
        <v>100</v>
      </c>
      <c r="O220">
        <v>100</v>
      </c>
    </row>
    <row r="221" spans="1:39" x14ac:dyDescent="0.3">
      <c r="A221">
        <v>60060</v>
      </c>
      <c r="B221" t="s">
        <v>434</v>
      </c>
      <c r="D221">
        <v>100</v>
      </c>
      <c r="O221">
        <v>100</v>
      </c>
      <c r="AM221">
        <v>13333.333333333299</v>
      </c>
    </row>
    <row r="222" spans="1:39" x14ac:dyDescent="0.3">
      <c r="A222">
        <v>60061</v>
      </c>
      <c r="B222" t="s">
        <v>435</v>
      </c>
      <c r="D222">
        <v>100</v>
      </c>
      <c r="K222">
        <v>6.84</v>
      </c>
      <c r="O222">
        <v>100</v>
      </c>
      <c r="AF222">
        <v>125</v>
      </c>
      <c r="AM222">
        <v>-5208.3333333333003</v>
      </c>
    </row>
    <row r="223" spans="1:39" x14ac:dyDescent="0.3">
      <c r="A223">
        <v>60062</v>
      </c>
      <c r="B223" t="s">
        <v>436</v>
      </c>
      <c r="D223">
        <v>100</v>
      </c>
      <c r="O223">
        <v>100</v>
      </c>
      <c r="AM223">
        <v>45833.333333333299</v>
      </c>
    </row>
    <row r="224" spans="1:39" x14ac:dyDescent="0.3">
      <c r="A224">
        <v>60070</v>
      </c>
      <c r="B224" t="s">
        <v>437</v>
      </c>
      <c r="D224">
        <v>100</v>
      </c>
      <c r="O224">
        <v>100</v>
      </c>
    </row>
    <row r="225" spans="1:39" x14ac:dyDescent="0.3">
      <c r="A225">
        <v>60071</v>
      </c>
      <c r="B225" t="s">
        <v>438</v>
      </c>
      <c r="D225">
        <v>100</v>
      </c>
      <c r="O225">
        <v>100</v>
      </c>
    </row>
    <row r="226" spans="1:39" x14ac:dyDescent="0.3">
      <c r="A226">
        <v>60080</v>
      </c>
      <c r="B226" t="s">
        <v>439</v>
      </c>
      <c r="D226">
        <v>100</v>
      </c>
      <c r="O226">
        <v>100</v>
      </c>
    </row>
    <row r="227" spans="1:39" x14ac:dyDescent="0.3">
      <c r="A227">
        <v>60090</v>
      </c>
      <c r="B227" t="s">
        <v>440</v>
      </c>
      <c r="D227">
        <v>100</v>
      </c>
      <c r="O227">
        <v>100</v>
      </c>
      <c r="AK227">
        <v>39</v>
      </c>
      <c r="AL227">
        <v>9973.9143777811896</v>
      </c>
      <c r="AM227">
        <v>9973.9143777811896</v>
      </c>
    </row>
    <row r="228" spans="1:39" x14ac:dyDescent="0.3">
      <c r="A228">
        <v>60091</v>
      </c>
      <c r="B228" t="s">
        <v>441</v>
      </c>
      <c r="D228">
        <v>100</v>
      </c>
      <c r="O228">
        <v>100</v>
      </c>
      <c r="AK228">
        <v>52</v>
      </c>
      <c r="AL228">
        <v>13298.552503708201</v>
      </c>
      <c r="AM228">
        <v>13298.552503708201</v>
      </c>
    </row>
    <row r="229" spans="1:39" x14ac:dyDescent="0.3">
      <c r="A229">
        <v>60092</v>
      </c>
      <c r="B229" t="s">
        <v>442</v>
      </c>
      <c r="D229">
        <v>100</v>
      </c>
      <c r="O229">
        <v>100</v>
      </c>
      <c r="AK229">
        <v>56</v>
      </c>
      <c r="AL229">
        <v>14321.5180809166</v>
      </c>
      <c r="AM229">
        <v>14321.5180809166</v>
      </c>
    </row>
    <row r="230" spans="1:39" x14ac:dyDescent="0.3">
      <c r="A230">
        <v>60093</v>
      </c>
      <c r="B230" t="s">
        <v>443</v>
      </c>
      <c r="C230">
        <v>2</v>
      </c>
      <c r="D230">
        <v>98</v>
      </c>
      <c r="O230">
        <v>98</v>
      </c>
      <c r="AG230">
        <v>38.114754098360599</v>
      </c>
      <c r="AJ230">
        <v>46.5</v>
      </c>
      <c r="AK230">
        <v>51.5</v>
      </c>
      <c r="AL230">
        <v>53.615516007101199</v>
      </c>
      <c r="AM230">
        <v>13039.5111436517</v>
      </c>
    </row>
    <row r="231" spans="1:39" x14ac:dyDescent="0.3">
      <c r="A231">
        <v>60100</v>
      </c>
      <c r="B231" t="s">
        <v>444</v>
      </c>
      <c r="D231">
        <v>100</v>
      </c>
      <c r="N231">
        <v>100</v>
      </c>
    </row>
    <row r="232" spans="1:39" x14ac:dyDescent="0.3">
      <c r="A232">
        <v>60102</v>
      </c>
      <c r="B232" t="s">
        <v>445</v>
      </c>
      <c r="D232">
        <v>100</v>
      </c>
      <c r="O232">
        <v>100</v>
      </c>
    </row>
    <row r="233" spans="1:39" x14ac:dyDescent="0.3">
      <c r="A233">
        <v>60110</v>
      </c>
      <c r="B233" t="s">
        <v>446</v>
      </c>
      <c r="D233">
        <v>100</v>
      </c>
      <c r="K233">
        <v>6.84</v>
      </c>
      <c r="O233">
        <v>100</v>
      </c>
      <c r="AF233">
        <v>24900</v>
      </c>
    </row>
    <row r="234" spans="1:39" x14ac:dyDescent="0.3">
      <c r="A234">
        <v>60111</v>
      </c>
      <c r="B234" t="s">
        <v>447</v>
      </c>
      <c r="D234">
        <v>100</v>
      </c>
      <c r="K234">
        <v>6.84</v>
      </c>
      <c r="O234">
        <v>100</v>
      </c>
      <c r="AF234">
        <v>24900</v>
      </c>
    </row>
    <row r="235" spans="1:39" x14ac:dyDescent="0.3">
      <c r="A235">
        <v>60112</v>
      </c>
      <c r="B235" t="s">
        <v>448</v>
      </c>
      <c r="C235">
        <v>2</v>
      </c>
      <c r="D235">
        <v>98</v>
      </c>
      <c r="N235">
        <v>70</v>
      </c>
      <c r="O235">
        <v>28</v>
      </c>
      <c r="AG235">
        <v>11.4754098360656</v>
      </c>
      <c r="AJ235">
        <v>14</v>
      </c>
      <c r="AM235">
        <v>-39.492242595204502</v>
      </c>
    </row>
    <row r="236" spans="1:39" x14ac:dyDescent="0.3">
      <c r="A236">
        <v>60113</v>
      </c>
      <c r="B236" t="s">
        <v>449</v>
      </c>
      <c r="C236">
        <v>2</v>
      </c>
      <c r="D236">
        <v>98</v>
      </c>
      <c r="N236">
        <v>70</v>
      </c>
      <c r="O236">
        <v>28</v>
      </c>
      <c r="AM236">
        <v>-106250000</v>
      </c>
    </row>
    <row r="237" spans="1:39" x14ac:dyDescent="0.3">
      <c r="A237">
        <v>60500</v>
      </c>
      <c r="B237" t="s">
        <v>450</v>
      </c>
      <c r="C237">
        <v>5</v>
      </c>
      <c r="D237">
        <v>95</v>
      </c>
      <c r="O237">
        <v>95</v>
      </c>
    </row>
    <row r="238" spans="1:39" x14ac:dyDescent="0.3">
      <c r="A238">
        <v>60505</v>
      </c>
      <c r="B238" t="s">
        <v>451</v>
      </c>
      <c r="C238">
        <v>5</v>
      </c>
      <c r="D238">
        <v>95</v>
      </c>
      <c r="O238">
        <v>95</v>
      </c>
    </row>
    <row r="239" spans="1:39" x14ac:dyDescent="0.3">
      <c r="A239">
        <v>60510</v>
      </c>
      <c r="B239" t="s">
        <v>452</v>
      </c>
      <c r="C239">
        <v>5</v>
      </c>
      <c r="D239">
        <v>95</v>
      </c>
      <c r="O239">
        <v>95</v>
      </c>
    </row>
    <row r="240" spans="1:39" x14ac:dyDescent="0.3">
      <c r="A240">
        <v>60515</v>
      </c>
      <c r="B240" t="s">
        <v>453</v>
      </c>
      <c r="C240">
        <v>5</v>
      </c>
      <c r="D240">
        <v>95</v>
      </c>
      <c r="O240">
        <v>95</v>
      </c>
    </row>
    <row r="241" spans="1:15" x14ac:dyDescent="0.3">
      <c r="A241">
        <v>60520</v>
      </c>
      <c r="B241" t="s">
        <v>454</v>
      </c>
      <c r="C241">
        <v>5</v>
      </c>
      <c r="D241">
        <v>95</v>
      </c>
      <c r="O241">
        <v>95</v>
      </c>
    </row>
    <row r="242" spans="1:15" x14ac:dyDescent="0.3">
      <c r="A242">
        <v>60525</v>
      </c>
      <c r="B242" t="s">
        <v>455</v>
      </c>
      <c r="D242">
        <v>100</v>
      </c>
      <c r="O242">
        <v>100</v>
      </c>
    </row>
    <row r="243" spans="1:15" x14ac:dyDescent="0.3">
      <c r="A243">
        <v>60526</v>
      </c>
      <c r="B243" t="s">
        <v>456</v>
      </c>
      <c r="D243">
        <v>100</v>
      </c>
      <c r="O243">
        <v>100</v>
      </c>
    </row>
    <row r="244" spans="1:15" x14ac:dyDescent="0.3">
      <c r="A244">
        <v>60527</v>
      </c>
      <c r="B244" t="s">
        <v>457</v>
      </c>
      <c r="D244">
        <v>100</v>
      </c>
      <c r="O244">
        <v>100</v>
      </c>
    </row>
    <row r="245" spans="1:15" x14ac:dyDescent="0.3">
      <c r="A245">
        <v>60530</v>
      </c>
      <c r="B245" t="s">
        <v>458</v>
      </c>
      <c r="C245">
        <v>10</v>
      </c>
      <c r="D245">
        <v>90</v>
      </c>
      <c r="O245">
        <v>90</v>
      </c>
    </row>
    <row r="246" spans="1:15" x14ac:dyDescent="0.3">
      <c r="A246">
        <v>60535</v>
      </c>
      <c r="B246" t="s">
        <v>459</v>
      </c>
      <c r="D246">
        <v>100</v>
      </c>
      <c r="O246">
        <v>100</v>
      </c>
    </row>
    <row r="247" spans="1:15" x14ac:dyDescent="0.3">
      <c r="A247">
        <v>60540</v>
      </c>
      <c r="B247" t="s">
        <v>460</v>
      </c>
      <c r="C247">
        <v>2.5</v>
      </c>
      <c r="D247">
        <v>97.5</v>
      </c>
      <c r="O247">
        <v>97.5</v>
      </c>
    </row>
    <row r="248" spans="1:15" x14ac:dyDescent="0.3">
      <c r="A248">
        <v>60560</v>
      </c>
      <c r="B248" t="s">
        <v>461</v>
      </c>
      <c r="C248">
        <v>2</v>
      </c>
      <c r="D248">
        <v>98</v>
      </c>
      <c r="O248">
        <v>98</v>
      </c>
    </row>
    <row r="249" spans="1:15" x14ac:dyDescent="0.3">
      <c r="A249">
        <v>60565</v>
      </c>
      <c r="B249" t="s">
        <v>462</v>
      </c>
      <c r="C249">
        <v>2</v>
      </c>
      <c r="D249">
        <v>98</v>
      </c>
      <c r="O249">
        <v>98</v>
      </c>
    </row>
    <row r="250" spans="1:15" x14ac:dyDescent="0.3">
      <c r="A250">
        <v>60570</v>
      </c>
      <c r="B250" t="s">
        <v>463</v>
      </c>
      <c r="C250">
        <v>2</v>
      </c>
      <c r="D250">
        <v>98</v>
      </c>
      <c r="O250">
        <v>98</v>
      </c>
    </row>
    <row r="251" spans="1:15" x14ac:dyDescent="0.3">
      <c r="A251">
        <v>60580</v>
      </c>
      <c r="B251" t="s">
        <v>464</v>
      </c>
      <c r="C251">
        <v>2</v>
      </c>
      <c r="D251">
        <v>98</v>
      </c>
      <c r="O251">
        <v>98</v>
      </c>
    </row>
    <row r="252" spans="1:15" x14ac:dyDescent="0.3">
      <c r="A252">
        <v>60585</v>
      </c>
      <c r="B252" t="s">
        <v>465</v>
      </c>
      <c r="C252">
        <v>2</v>
      </c>
      <c r="D252">
        <v>98</v>
      </c>
      <c r="O252">
        <v>98</v>
      </c>
    </row>
    <row r="253" spans="1:15" x14ac:dyDescent="0.3">
      <c r="A253">
        <v>60600</v>
      </c>
      <c r="B253" t="s">
        <v>466</v>
      </c>
      <c r="C253">
        <v>3</v>
      </c>
      <c r="D253">
        <v>97</v>
      </c>
      <c r="O253">
        <v>97</v>
      </c>
    </row>
    <row r="254" spans="1:15" x14ac:dyDescent="0.3">
      <c r="A254">
        <v>60620</v>
      </c>
      <c r="B254" t="s">
        <v>467</v>
      </c>
      <c r="C254">
        <v>3</v>
      </c>
      <c r="D254">
        <v>97</v>
      </c>
      <c r="O254">
        <v>97</v>
      </c>
    </row>
    <row r="255" spans="1:15" x14ac:dyDescent="0.3">
      <c r="A255">
        <v>60640</v>
      </c>
      <c r="B255" t="s">
        <v>468</v>
      </c>
      <c r="C255">
        <v>1</v>
      </c>
      <c r="D255">
        <v>99</v>
      </c>
      <c r="O255">
        <v>99</v>
      </c>
    </row>
    <row r="256" spans="1:15" x14ac:dyDescent="0.3">
      <c r="A256">
        <v>60660</v>
      </c>
      <c r="B256" t="s">
        <v>469</v>
      </c>
      <c r="C256">
        <v>4</v>
      </c>
      <c r="D256">
        <v>96</v>
      </c>
      <c r="O256">
        <v>96</v>
      </c>
    </row>
    <row r="257" spans="1:32" x14ac:dyDescent="0.3">
      <c r="A257">
        <v>60662</v>
      </c>
      <c r="B257" t="s">
        <v>470</v>
      </c>
      <c r="C257">
        <v>4</v>
      </c>
      <c r="D257">
        <v>96</v>
      </c>
      <c r="O257">
        <v>96</v>
      </c>
    </row>
    <row r="258" spans="1:32" x14ac:dyDescent="0.3">
      <c r="A258">
        <v>60664</v>
      </c>
      <c r="B258" t="s">
        <v>471</v>
      </c>
      <c r="C258">
        <v>4</v>
      </c>
      <c r="D258">
        <v>96</v>
      </c>
      <c r="O258">
        <v>96</v>
      </c>
    </row>
    <row r="259" spans="1:32" x14ac:dyDescent="0.3">
      <c r="A259">
        <v>60666</v>
      </c>
      <c r="B259" t="s">
        <v>472</v>
      </c>
      <c r="C259">
        <v>1</v>
      </c>
      <c r="D259">
        <v>99</v>
      </c>
      <c r="O259">
        <v>99</v>
      </c>
    </row>
    <row r="260" spans="1:32" x14ac:dyDescent="0.3">
      <c r="A260">
        <v>60680</v>
      </c>
      <c r="B260" t="s">
        <v>473</v>
      </c>
      <c r="C260">
        <v>2</v>
      </c>
      <c r="D260">
        <v>98</v>
      </c>
      <c r="O260">
        <v>98</v>
      </c>
    </row>
    <row r="261" spans="1:32" x14ac:dyDescent="0.3">
      <c r="A261">
        <v>60685</v>
      </c>
      <c r="B261" t="s">
        <v>474</v>
      </c>
      <c r="C261">
        <v>1</v>
      </c>
      <c r="D261">
        <v>99</v>
      </c>
      <c r="O261">
        <v>99</v>
      </c>
    </row>
    <row r="262" spans="1:32" x14ac:dyDescent="0.3">
      <c r="A262">
        <v>60720</v>
      </c>
      <c r="B262" t="s">
        <v>475</v>
      </c>
      <c r="C262">
        <v>2</v>
      </c>
      <c r="D262">
        <v>98</v>
      </c>
      <c r="O262">
        <v>98</v>
      </c>
    </row>
    <row r="263" spans="1:32" x14ac:dyDescent="0.3">
      <c r="A263">
        <v>60740</v>
      </c>
      <c r="B263" t="s">
        <v>476</v>
      </c>
      <c r="C263">
        <v>2.5</v>
      </c>
      <c r="D263">
        <v>97.5</v>
      </c>
      <c r="O263">
        <v>97.5</v>
      </c>
    </row>
    <row r="264" spans="1:32" x14ac:dyDescent="0.3">
      <c r="A264">
        <v>60745</v>
      </c>
      <c r="B264" t="s">
        <v>477</v>
      </c>
      <c r="C264">
        <v>2.5</v>
      </c>
      <c r="D264">
        <v>97.5</v>
      </c>
      <c r="O264">
        <v>97.5</v>
      </c>
    </row>
    <row r="265" spans="1:32" x14ac:dyDescent="0.3">
      <c r="A265">
        <v>60760</v>
      </c>
      <c r="B265" t="s">
        <v>478</v>
      </c>
      <c r="C265">
        <v>7</v>
      </c>
      <c r="D265">
        <v>93</v>
      </c>
      <c r="O265">
        <v>93</v>
      </c>
    </row>
    <row r="266" spans="1:32" x14ac:dyDescent="0.3">
      <c r="A266">
        <v>60764</v>
      </c>
      <c r="B266" t="s">
        <v>479</v>
      </c>
      <c r="D266">
        <v>100</v>
      </c>
      <c r="O266">
        <v>100</v>
      </c>
    </row>
    <row r="267" spans="1:32" x14ac:dyDescent="0.3">
      <c r="A267">
        <v>60768</v>
      </c>
      <c r="B267" t="s">
        <v>480</v>
      </c>
      <c r="D267">
        <v>100</v>
      </c>
      <c r="O267">
        <v>100</v>
      </c>
    </row>
    <row r="268" spans="1:32" x14ac:dyDescent="0.3">
      <c r="A268">
        <v>60800</v>
      </c>
      <c r="B268" t="s">
        <v>481</v>
      </c>
      <c r="D268">
        <v>100</v>
      </c>
      <c r="O268">
        <v>100</v>
      </c>
    </row>
    <row r="269" spans="1:32" x14ac:dyDescent="0.3">
      <c r="A269">
        <v>60805</v>
      </c>
      <c r="B269" t="s">
        <v>482</v>
      </c>
      <c r="D269">
        <v>100</v>
      </c>
      <c r="K269">
        <v>6.84</v>
      </c>
      <c r="O269">
        <v>100</v>
      </c>
      <c r="AF269">
        <v>-217</v>
      </c>
    </row>
    <row r="270" spans="1:32" x14ac:dyDescent="0.3">
      <c r="A270">
        <v>60810</v>
      </c>
      <c r="B270" t="s">
        <v>483</v>
      </c>
      <c r="D270">
        <v>100</v>
      </c>
      <c r="O270">
        <v>100</v>
      </c>
    </row>
    <row r="271" spans="1:32" x14ac:dyDescent="0.3">
      <c r="A271">
        <v>60815</v>
      </c>
      <c r="B271" t="s">
        <v>484</v>
      </c>
      <c r="D271">
        <v>100</v>
      </c>
      <c r="O271">
        <v>100</v>
      </c>
    </row>
    <row r="272" spans="1:32" x14ac:dyDescent="0.3">
      <c r="A272">
        <v>60816</v>
      </c>
      <c r="B272" t="s">
        <v>485</v>
      </c>
      <c r="D272">
        <v>100</v>
      </c>
      <c r="O272">
        <v>100</v>
      </c>
    </row>
    <row r="273" spans="1:15" x14ac:dyDescent="0.3">
      <c r="A273">
        <v>60840</v>
      </c>
      <c r="B273" t="s">
        <v>486</v>
      </c>
      <c r="D273">
        <v>100</v>
      </c>
      <c r="O273">
        <v>100</v>
      </c>
    </row>
    <row r="274" spans="1:15" x14ac:dyDescent="0.3">
      <c r="A274">
        <v>60860</v>
      </c>
      <c r="B274" t="s">
        <v>487</v>
      </c>
      <c r="D274">
        <v>100</v>
      </c>
      <c r="O274">
        <v>100</v>
      </c>
    </row>
    <row r="275" spans="1:15" x14ac:dyDescent="0.3">
      <c r="A275">
        <v>61000</v>
      </c>
      <c r="B275" t="s">
        <v>488</v>
      </c>
      <c r="D275">
        <v>100</v>
      </c>
      <c r="O275">
        <v>100</v>
      </c>
    </row>
    <row r="276" spans="1:15" x14ac:dyDescent="0.3">
      <c r="A276">
        <v>61005</v>
      </c>
      <c r="B276" t="s">
        <v>489</v>
      </c>
      <c r="C276">
        <v>5</v>
      </c>
      <c r="D276">
        <v>95</v>
      </c>
      <c r="O276">
        <v>95</v>
      </c>
    </row>
    <row r="277" spans="1:15" x14ac:dyDescent="0.3">
      <c r="A277">
        <v>61010</v>
      </c>
      <c r="B277" t="s">
        <v>490</v>
      </c>
      <c r="C277">
        <v>5</v>
      </c>
      <c r="D277">
        <v>95</v>
      </c>
      <c r="O277">
        <v>95</v>
      </c>
    </row>
    <row r="278" spans="1:15" x14ac:dyDescent="0.3">
      <c r="A278">
        <v>61015</v>
      </c>
      <c r="B278" t="s">
        <v>491</v>
      </c>
      <c r="C278">
        <v>5</v>
      </c>
      <c r="D278">
        <v>95</v>
      </c>
      <c r="O278">
        <v>95</v>
      </c>
    </row>
    <row r="279" spans="1:15" x14ac:dyDescent="0.3">
      <c r="A279">
        <v>61020</v>
      </c>
      <c r="B279" t="s">
        <v>492</v>
      </c>
      <c r="C279">
        <v>5</v>
      </c>
      <c r="D279">
        <v>95</v>
      </c>
      <c r="O279">
        <v>95</v>
      </c>
    </row>
    <row r="280" spans="1:15" x14ac:dyDescent="0.3">
      <c r="A280">
        <v>61025</v>
      </c>
      <c r="B280" t="s">
        <v>493</v>
      </c>
      <c r="C280">
        <v>5</v>
      </c>
      <c r="D280">
        <v>95</v>
      </c>
      <c r="O280">
        <v>95</v>
      </c>
    </row>
    <row r="281" spans="1:15" x14ac:dyDescent="0.3">
      <c r="A281">
        <v>61027</v>
      </c>
      <c r="B281" t="s">
        <v>494</v>
      </c>
      <c r="C281">
        <v>5</v>
      </c>
      <c r="D281">
        <v>95</v>
      </c>
      <c r="O281">
        <v>95</v>
      </c>
    </row>
    <row r="282" spans="1:15" x14ac:dyDescent="0.3">
      <c r="A282">
        <v>61030</v>
      </c>
      <c r="B282" t="s">
        <v>495</v>
      </c>
      <c r="C282">
        <v>5</v>
      </c>
      <c r="D282">
        <v>95</v>
      </c>
      <c r="O282">
        <v>95</v>
      </c>
    </row>
    <row r="283" spans="1:15" x14ac:dyDescent="0.3">
      <c r="A283">
        <v>61040</v>
      </c>
      <c r="B283" t="s">
        <v>496</v>
      </c>
      <c r="C283">
        <v>5</v>
      </c>
      <c r="D283">
        <v>95</v>
      </c>
      <c r="O283">
        <v>95</v>
      </c>
    </row>
    <row r="284" spans="1:15" x14ac:dyDescent="0.3">
      <c r="A284">
        <v>61200</v>
      </c>
      <c r="B284" t="s">
        <v>497</v>
      </c>
      <c r="C284">
        <v>5</v>
      </c>
      <c r="D284">
        <v>95</v>
      </c>
      <c r="O284">
        <v>95</v>
      </c>
    </row>
    <row r="285" spans="1:15" x14ac:dyDescent="0.3">
      <c r="A285">
        <v>61210</v>
      </c>
      <c r="B285" t="s">
        <v>498</v>
      </c>
      <c r="C285">
        <v>5</v>
      </c>
      <c r="D285">
        <v>95</v>
      </c>
      <c r="O285">
        <v>95</v>
      </c>
    </row>
    <row r="286" spans="1:15" x14ac:dyDescent="0.3">
      <c r="A286">
        <v>61230</v>
      </c>
      <c r="B286" t="s">
        <v>499</v>
      </c>
      <c r="C286">
        <v>5</v>
      </c>
      <c r="D286">
        <v>95</v>
      </c>
      <c r="O286">
        <v>95</v>
      </c>
    </row>
    <row r="287" spans="1:15" x14ac:dyDescent="0.3">
      <c r="A287">
        <v>61240</v>
      </c>
      <c r="B287" t="s">
        <v>500</v>
      </c>
      <c r="C287">
        <v>5</v>
      </c>
      <c r="D287">
        <v>95</v>
      </c>
      <c r="O287">
        <v>95</v>
      </c>
    </row>
    <row r="288" spans="1:15" x14ac:dyDescent="0.3">
      <c r="A288">
        <v>61250</v>
      </c>
      <c r="B288" t="s">
        <v>501</v>
      </c>
      <c r="C288">
        <v>5</v>
      </c>
      <c r="D288">
        <v>95</v>
      </c>
      <c r="O288">
        <v>95</v>
      </c>
    </row>
    <row r="289" spans="1:15" x14ac:dyDescent="0.3">
      <c r="A289">
        <v>62000</v>
      </c>
      <c r="B289" t="s">
        <v>502</v>
      </c>
      <c r="D289">
        <v>100</v>
      </c>
      <c r="O289">
        <v>100</v>
      </c>
    </row>
    <row r="290" spans="1:15" x14ac:dyDescent="0.3">
      <c r="A290">
        <v>62010</v>
      </c>
      <c r="B290" t="s">
        <v>503</v>
      </c>
      <c r="D290">
        <v>100</v>
      </c>
      <c r="O290">
        <v>100</v>
      </c>
    </row>
    <row r="291" spans="1:15" x14ac:dyDescent="0.3">
      <c r="A291">
        <v>62012</v>
      </c>
      <c r="B291" t="s">
        <v>504</v>
      </c>
      <c r="D291">
        <v>100</v>
      </c>
      <c r="O291">
        <v>100</v>
      </c>
    </row>
    <row r="292" spans="1:15" x14ac:dyDescent="0.3">
      <c r="A292">
        <v>62020</v>
      </c>
      <c r="B292" t="s">
        <v>505</v>
      </c>
      <c r="D292">
        <v>100</v>
      </c>
      <c r="O292">
        <v>100</v>
      </c>
    </row>
    <row r="293" spans="1:15" x14ac:dyDescent="0.3">
      <c r="A293">
        <v>62022</v>
      </c>
      <c r="B293" t="s">
        <v>506</v>
      </c>
      <c r="D293">
        <v>100</v>
      </c>
      <c r="O293">
        <v>100</v>
      </c>
    </row>
    <row r="294" spans="1:15" x14ac:dyDescent="0.3">
      <c r="A294">
        <v>62030</v>
      </c>
      <c r="B294" t="s">
        <v>507</v>
      </c>
      <c r="D294">
        <v>100</v>
      </c>
      <c r="O294">
        <v>100</v>
      </c>
    </row>
    <row r="295" spans="1:15" x14ac:dyDescent="0.3">
      <c r="A295">
        <v>62032</v>
      </c>
      <c r="B295" t="s">
        <v>508</v>
      </c>
      <c r="D295">
        <v>100</v>
      </c>
      <c r="O295">
        <v>100</v>
      </c>
    </row>
    <row r="296" spans="1:15" x14ac:dyDescent="0.3">
      <c r="A296">
        <v>62040</v>
      </c>
      <c r="B296" t="s">
        <v>509</v>
      </c>
      <c r="D296">
        <v>100</v>
      </c>
      <c r="O296">
        <v>100</v>
      </c>
    </row>
    <row r="297" spans="1:15" x14ac:dyDescent="0.3">
      <c r="A297">
        <v>62042</v>
      </c>
      <c r="B297" t="s">
        <v>510</v>
      </c>
      <c r="D297">
        <v>100</v>
      </c>
      <c r="O297">
        <v>100</v>
      </c>
    </row>
    <row r="298" spans="1:15" x14ac:dyDescent="0.3">
      <c r="A298">
        <v>62050</v>
      </c>
      <c r="B298" t="s">
        <v>511</v>
      </c>
      <c r="D298">
        <v>100</v>
      </c>
      <c r="O298">
        <v>100</v>
      </c>
    </row>
    <row r="299" spans="1:15" x14ac:dyDescent="0.3">
      <c r="A299">
        <v>62052</v>
      </c>
      <c r="B299" t="s">
        <v>31</v>
      </c>
      <c r="D299">
        <v>100</v>
      </c>
      <c r="O299">
        <v>100</v>
      </c>
    </row>
    <row r="300" spans="1:15" x14ac:dyDescent="0.3">
      <c r="A300">
        <v>62054</v>
      </c>
      <c r="B300" t="s">
        <v>512</v>
      </c>
      <c r="D300">
        <v>100</v>
      </c>
      <c r="O300">
        <v>100</v>
      </c>
    </row>
    <row r="301" spans="1:15" x14ac:dyDescent="0.3">
      <c r="A301">
        <v>62060</v>
      </c>
      <c r="B301" t="s">
        <v>513</v>
      </c>
      <c r="D301">
        <v>100</v>
      </c>
      <c r="O301">
        <v>100</v>
      </c>
    </row>
    <row r="302" spans="1:15" x14ac:dyDescent="0.3">
      <c r="A302">
        <v>62062</v>
      </c>
      <c r="B302" t="s">
        <v>514</v>
      </c>
      <c r="D302">
        <v>100</v>
      </c>
      <c r="O302">
        <v>100</v>
      </c>
    </row>
    <row r="303" spans="1:15" x14ac:dyDescent="0.3">
      <c r="A303">
        <v>62064</v>
      </c>
      <c r="B303" t="s">
        <v>32</v>
      </c>
      <c r="D303">
        <v>100</v>
      </c>
      <c r="O303">
        <v>100</v>
      </c>
    </row>
    <row r="304" spans="1:15" x14ac:dyDescent="0.3">
      <c r="A304">
        <v>62070</v>
      </c>
      <c r="B304" t="s">
        <v>515</v>
      </c>
      <c r="D304">
        <v>100</v>
      </c>
      <c r="O304">
        <v>100</v>
      </c>
    </row>
    <row r="305" spans="1:32" x14ac:dyDescent="0.3">
      <c r="A305">
        <v>62080</v>
      </c>
      <c r="B305" t="s">
        <v>516</v>
      </c>
      <c r="D305">
        <v>100</v>
      </c>
      <c r="O305">
        <v>100</v>
      </c>
    </row>
    <row r="306" spans="1:32" x14ac:dyDescent="0.3">
      <c r="A306">
        <v>62090</v>
      </c>
      <c r="B306" t="s">
        <v>517</v>
      </c>
      <c r="D306">
        <v>100</v>
      </c>
      <c r="O306">
        <v>100</v>
      </c>
    </row>
    <row r="307" spans="1:32" x14ac:dyDescent="0.3">
      <c r="A307">
        <v>62100</v>
      </c>
      <c r="B307" t="s">
        <v>518</v>
      </c>
      <c r="D307">
        <v>100</v>
      </c>
      <c r="O307">
        <v>100</v>
      </c>
    </row>
    <row r="308" spans="1:32" x14ac:dyDescent="0.3">
      <c r="A308">
        <v>62500</v>
      </c>
      <c r="B308" t="s">
        <v>519</v>
      </c>
      <c r="C308">
        <v>5</v>
      </c>
      <c r="D308">
        <v>95</v>
      </c>
      <c r="O308">
        <v>95</v>
      </c>
    </row>
    <row r="309" spans="1:32" x14ac:dyDescent="0.3">
      <c r="A309">
        <v>62510</v>
      </c>
      <c r="B309" t="s">
        <v>520</v>
      </c>
      <c r="C309">
        <v>5</v>
      </c>
      <c r="D309">
        <v>95</v>
      </c>
      <c r="K309">
        <v>6.84</v>
      </c>
      <c r="O309">
        <v>95</v>
      </c>
      <c r="AF309">
        <v>10</v>
      </c>
    </row>
    <row r="310" spans="1:32" x14ac:dyDescent="0.3">
      <c r="A310">
        <v>62515</v>
      </c>
      <c r="B310" t="s">
        <v>521</v>
      </c>
      <c r="C310">
        <v>5</v>
      </c>
      <c r="D310">
        <v>95</v>
      </c>
      <c r="K310">
        <v>6.84</v>
      </c>
      <c r="O310">
        <v>95</v>
      </c>
      <c r="AF310">
        <v>10</v>
      </c>
    </row>
    <row r="311" spans="1:32" x14ac:dyDescent="0.3">
      <c r="A311">
        <v>62520</v>
      </c>
      <c r="B311" t="s">
        <v>522</v>
      </c>
      <c r="C311">
        <v>5</v>
      </c>
      <c r="D311">
        <v>95</v>
      </c>
      <c r="K311">
        <v>6.84</v>
      </c>
      <c r="O311">
        <v>95</v>
      </c>
      <c r="AF311">
        <v>10</v>
      </c>
    </row>
    <row r="312" spans="1:32" x14ac:dyDescent="0.3">
      <c r="A312">
        <v>62550</v>
      </c>
      <c r="B312" t="s">
        <v>523</v>
      </c>
      <c r="C312">
        <v>5</v>
      </c>
      <c r="D312">
        <v>95</v>
      </c>
      <c r="O312">
        <v>95</v>
      </c>
    </row>
    <row r="313" spans="1:32" x14ac:dyDescent="0.3">
      <c r="A313">
        <v>62552</v>
      </c>
      <c r="B313" t="s">
        <v>524</v>
      </c>
      <c r="C313">
        <v>5</v>
      </c>
      <c r="D313">
        <v>95</v>
      </c>
      <c r="O313">
        <v>95</v>
      </c>
    </row>
    <row r="314" spans="1:32" x14ac:dyDescent="0.3">
      <c r="A314">
        <v>62560</v>
      </c>
      <c r="B314" t="s">
        <v>525</v>
      </c>
      <c r="C314">
        <v>5</v>
      </c>
      <c r="D314">
        <v>95</v>
      </c>
      <c r="O314">
        <v>95</v>
      </c>
    </row>
    <row r="315" spans="1:32" x14ac:dyDescent="0.3">
      <c r="A315">
        <v>62570</v>
      </c>
      <c r="B315" t="s">
        <v>526</v>
      </c>
      <c r="C315">
        <v>5</v>
      </c>
      <c r="D315">
        <v>95</v>
      </c>
      <c r="O315">
        <v>95</v>
      </c>
    </row>
    <row r="316" spans="1:32" x14ac:dyDescent="0.3">
      <c r="A316">
        <v>62572</v>
      </c>
      <c r="B316" t="s">
        <v>527</v>
      </c>
      <c r="C316">
        <v>5</v>
      </c>
      <c r="D316">
        <v>95</v>
      </c>
      <c r="O316">
        <v>95</v>
      </c>
    </row>
    <row r="317" spans="1:32" x14ac:dyDescent="0.3">
      <c r="A317">
        <v>62574</v>
      </c>
      <c r="B317" t="s">
        <v>528</v>
      </c>
      <c r="C317">
        <v>5</v>
      </c>
      <c r="D317">
        <v>95</v>
      </c>
      <c r="O317">
        <v>95</v>
      </c>
    </row>
    <row r="318" spans="1:32" x14ac:dyDescent="0.3">
      <c r="A318">
        <v>62576</v>
      </c>
      <c r="B318" t="s">
        <v>529</v>
      </c>
      <c r="C318">
        <v>5</v>
      </c>
      <c r="D318">
        <v>95</v>
      </c>
      <c r="O318">
        <v>95</v>
      </c>
    </row>
    <row r="319" spans="1:32" x14ac:dyDescent="0.3">
      <c r="A319">
        <v>62578</v>
      </c>
      <c r="B319" t="s">
        <v>530</v>
      </c>
      <c r="C319">
        <v>5</v>
      </c>
      <c r="D319">
        <v>95</v>
      </c>
      <c r="O319">
        <v>95</v>
      </c>
    </row>
    <row r="320" spans="1:32" x14ac:dyDescent="0.3">
      <c r="A320">
        <v>62579</v>
      </c>
      <c r="B320" t="s">
        <v>531</v>
      </c>
      <c r="C320">
        <v>5</v>
      </c>
      <c r="D320">
        <v>95</v>
      </c>
      <c r="O320">
        <v>95</v>
      </c>
    </row>
    <row r="321" spans="1:15" x14ac:dyDescent="0.3">
      <c r="A321">
        <v>62580</v>
      </c>
      <c r="B321" t="s">
        <v>532</v>
      </c>
      <c r="C321">
        <v>5</v>
      </c>
      <c r="D321">
        <v>95</v>
      </c>
      <c r="O321">
        <v>95</v>
      </c>
    </row>
    <row r="322" spans="1:15" x14ac:dyDescent="0.3">
      <c r="A322">
        <v>63000</v>
      </c>
      <c r="B322" t="s">
        <v>533</v>
      </c>
      <c r="D322">
        <v>100</v>
      </c>
      <c r="O322">
        <v>100</v>
      </c>
    </row>
    <row r="323" spans="1:15" x14ac:dyDescent="0.3">
      <c r="A323">
        <v>63020</v>
      </c>
      <c r="B323" t="s">
        <v>534</v>
      </c>
      <c r="D323">
        <v>100</v>
      </c>
      <c r="O323">
        <v>100</v>
      </c>
    </row>
    <row r="324" spans="1:15" x14ac:dyDescent="0.3">
      <c r="A324">
        <v>63040</v>
      </c>
      <c r="B324" t="s">
        <v>535</v>
      </c>
      <c r="D324">
        <v>100</v>
      </c>
      <c r="O324">
        <v>100</v>
      </c>
    </row>
    <row r="325" spans="1:15" x14ac:dyDescent="0.3">
      <c r="A325">
        <v>63060</v>
      </c>
      <c r="B325" t="s">
        <v>536</v>
      </c>
      <c r="D325">
        <v>100</v>
      </c>
      <c r="O325">
        <v>100</v>
      </c>
    </row>
    <row r="326" spans="1:15" x14ac:dyDescent="0.3">
      <c r="A326">
        <v>63070</v>
      </c>
      <c r="B326" t="s">
        <v>537</v>
      </c>
      <c r="C326">
        <v>5</v>
      </c>
      <c r="D326">
        <v>95</v>
      </c>
      <c r="O326">
        <v>95</v>
      </c>
    </row>
    <row r="327" spans="1:15" x14ac:dyDescent="0.3">
      <c r="A327">
        <v>63080</v>
      </c>
      <c r="B327" t="s">
        <v>538</v>
      </c>
      <c r="D327">
        <v>100</v>
      </c>
      <c r="O327">
        <v>100</v>
      </c>
    </row>
    <row r="328" spans="1:15" x14ac:dyDescent="0.3">
      <c r="A328">
        <v>64000</v>
      </c>
      <c r="B328" t="s">
        <v>539</v>
      </c>
      <c r="D328">
        <v>100</v>
      </c>
      <c r="O328">
        <v>100</v>
      </c>
    </row>
    <row r="329" spans="1:15" x14ac:dyDescent="0.3">
      <c r="A329">
        <v>64020</v>
      </c>
      <c r="B329" t="s">
        <v>540</v>
      </c>
      <c r="D329">
        <v>100</v>
      </c>
      <c r="O329">
        <v>100</v>
      </c>
    </row>
    <row r="330" spans="1:15" x14ac:dyDescent="0.3">
      <c r="A330">
        <v>64040</v>
      </c>
      <c r="B330" t="s">
        <v>541</v>
      </c>
      <c r="D330">
        <v>100</v>
      </c>
      <c r="O330">
        <v>100</v>
      </c>
    </row>
    <row r="331" spans="1:15" x14ac:dyDescent="0.3">
      <c r="A331">
        <v>64055</v>
      </c>
      <c r="B331" t="s">
        <v>542</v>
      </c>
      <c r="C331">
        <v>5</v>
      </c>
      <c r="D331">
        <v>95</v>
      </c>
      <c r="O331">
        <v>95</v>
      </c>
    </row>
    <row r="332" spans="1:15" x14ac:dyDescent="0.3">
      <c r="A332">
        <v>64060</v>
      </c>
      <c r="B332" t="s">
        <v>543</v>
      </c>
      <c r="D332">
        <v>100</v>
      </c>
      <c r="O332">
        <v>100</v>
      </c>
    </row>
    <row r="333" spans="1:15" x14ac:dyDescent="0.3">
      <c r="A333">
        <v>64080</v>
      </c>
      <c r="B333" t="s">
        <v>544</v>
      </c>
      <c r="D333">
        <v>100</v>
      </c>
      <c r="O333">
        <v>100</v>
      </c>
    </row>
    <row r="334" spans="1:15" x14ac:dyDescent="0.3">
      <c r="A334">
        <v>64100</v>
      </c>
      <c r="B334" t="s">
        <v>545</v>
      </c>
      <c r="D334">
        <v>100</v>
      </c>
      <c r="O334">
        <v>100</v>
      </c>
    </row>
    <row r="335" spans="1:15" x14ac:dyDescent="0.3">
      <c r="A335">
        <v>64120</v>
      </c>
      <c r="B335" t="s">
        <v>546</v>
      </c>
      <c r="D335">
        <v>100</v>
      </c>
      <c r="O335">
        <v>100</v>
      </c>
    </row>
    <row r="336" spans="1:15" x14ac:dyDescent="0.3">
      <c r="A336">
        <v>64200</v>
      </c>
      <c r="B336" t="s">
        <v>547</v>
      </c>
      <c r="C336">
        <v>99</v>
      </c>
      <c r="D336">
        <v>1</v>
      </c>
      <c r="O336">
        <v>1</v>
      </c>
    </row>
    <row r="337" spans="1:32" x14ac:dyDescent="0.3">
      <c r="A337">
        <v>64250</v>
      </c>
      <c r="B337" t="s">
        <v>548</v>
      </c>
      <c r="C337">
        <v>99</v>
      </c>
      <c r="D337">
        <v>1</v>
      </c>
      <c r="O337">
        <v>1</v>
      </c>
    </row>
    <row r="338" spans="1:32" x14ac:dyDescent="0.3">
      <c r="A338">
        <v>64500</v>
      </c>
      <c r="B338" t="s">
        <v>549</v>
      </c>
      <c r="D338">
        <v>100</v>
      </c>
      <c r="O338">
        <v>100</v>
      </c>
    </row>
    <row r="339" spans="1:32" x14ac:dyDescent="0.3">
      <c r="A339">
        <v>64510</v>
      </c>
      <c r="B339" t="s">
        <v>550</v>
      </c>
      <c r="D339">
        <v>100</v>
      </c>
      <c r="O339">
        <v>100</v>
      </c>
    </row>
    <row r="340" spans="1:32" x14ac:dyDescent="0.3">
      <c r="A340">
        <v>64520</v>
      </c>
      <c r="B340" t="s">
        <v>551</v>
      </c>
      <c r="D340">
        <v>100</v>
      </c>
      <c r="O340">
        <v>100</v>
      </c>
    </row>
    <row r="341" spans="1:32" x14ac:dyDescent="0.3">
      <c r="A341">
        <v>65000</v>
      </c>
      <c r="B341" t="s">
        <v>552</v>
      </c>
      <c r="D341">
        <v>100</v>
      </c>
      <c r="O341">
        <v>100</v>
      </c>
    </row>
    <row r="342" spans="1:32" x14ac:dyDescent="0.3">
      <c r="A342">
        <v>65001</v>
      </c>
      <c r="B342" t="s">
        <v>553</v>
      </c>
      <c r="D342">
        <v>100</v>
      </c>
      <c r="K342">
        <v>6.84</v>
      </c>
      <c r="O342">
        <v>100</v>
      </c>
      <c r="AF342">
        <v>-13910</v>
      </c>
    </row>
    <row r="343" spans="1:32" x14ac:dyDescent="0.3">
      <c r="A343">
        <v>65002</v>
      </c>
      <c r="B343" t="s">
        <v>554</v>
      </c>
      <c r="D343">
        <v>100</v>
      </c>
      <c r="K343">
        <v>6.84</v>
      </c>
      <c r="O343">
        <v>100</v>
      </c>
      <c r="AF343">
        <v>-2285</v>
      </c>
    </row>
    <row r="344" spans="1:32" x14ac:dyDescent="0.3">
      <c r="A344">
        <v>65003</v>
      </c>
      <c r="B344" t="s">
        <v>555</v>
      </c>
      <c r="D344">
        <v>100</v>
      </c>
      <c r="K344">
        <v>6.84</v>
      </c>
      <c r="O344">
        <v>100</v>
      </c>
      <c r="AF344">
        <v>-1625</v>
      </c>
    </row>
    <row r="345" spans="1:32" x14ac:dyDescent="0.3">
      <c r="A345">
        <v>65004</v>
      </c>
      <c r="B345" t="s">
        <v>556</v>
      </c>
      <c r="D345">
        <v>100</v>
      </c>
      <c r="K345">
        <v>6.84</v>
      </c>
      <c r="O345">
        <v>100</v>
      </c>
      <c r="AF345">
        <v>-1025</v>
      </c>
    </row>
    <row r="346" spans="1:32" x14ac:dyDescent="0.3">
      <c r="A346">
        <v>65005</v>
      </c>
      <c r="B346" t="s">
        <v>557</v>
      </c>
      <c r="D346">
        <v>100</v>
      </c>
      <c r="K346">
        <v>6.84</v>
      </c>
      <c r="O346">
        <v>100</v>
      </c>
      <c r="AF346">
        <v>-5100</v>
      </c>
    </row>
    <row r="347" spans="1:32" x14ac:dyDescent="0.3">
      <c r="A347">
        <v>65006</v>
      </c>
      <c r="B347" t="s">
        <v>558</v>
      </c>
      <c r="D347">
        <v>100</v>
      </c>
      <c r="K347">
        <v>6.84</v>
      </c>
      <c r="O347">
        <v>100</v>
      </c>
      <c r="AF347">
        <v>-400</v>
      </c>
    </row>
    <row r="348" spans="1:32" x14ac:dyDescent="0.3">
      <c r="A348">
        <v>65007</v>
      </c>
      <c r="B348" t="s">
        <v>559</v>
      </c>
      <c r="D348">
        <v>100</v>
      </c>
      <c r="K348">
        <v>6.84</v>
      </c>
      <c r="O348">
        <v>100</v>
      </c>
      <c r="AF348">
        <v>-5800</v>
      </c>
    </row>
    <row r="349" spans="1:32" x14ac:dyDescent="0.3">
      <c r="A349">
        <v>65008</v>
      </c>
      <c r="B349" t="s">
        <v>560</v>
      </c>
      <c r="D349">
        <v>100</v>
      </c>
      <c r="K349">
        <v>6.84</v>
      </c>
      <c r="O349">
        <v>100</v>
      </c>
      <c r="AF349">
        <v>-11330</v>
      </c>
    </row>
    <row r="350" spans="1:32" x14ac:dyDescent="0.3">
      <c r="A350">
        <v>65009</v>
      </c>
      <c r="B350" t="s">
        <v>561</v>
      </c>
      <c r="D350">
        <v>100</v>
      </c>
      <c r="K350">
        <v>6.84</v>
      </c>
      <c r="O350">
        <v>100</v>
      </c>
      <c r="AF350">
        <v>-220</v>
      </c>
    </row>
    <row r="351" spans="1:32" x14ac:dyDescent="0.3">
      <c r="A351">
        <v>65030</v>
      </c>
      <c r="B351" t="s">
        <v>562</v>
      </c>
      <c r="C351">
        <v>5</v>
      </c>
      <c r="D351">
        <v>95</v>
      </c>
      <c r="K351">
        <v>6.84</v>
      </c>
      <c r="O351">
        <v>95</v>
      </c>
      <c r="AF351">
        <v>-12800</v>
      </c>
    </row>
    <row r="352" spans="1:32" x14ac:dyDescent="0.3">
      <c r="A352">
        <v>65031</v>
      </c>
      <c r="B352" t="s">
        <v>563</v>
      </c>
      <c r="C352">
        <v>5</v>
      </c>
      <c r="D352">
        <v>95</v>
      </c>
      <c r="K352">
        <v>6.84</v>
      </c>
      <c r="O352">
        <v>95</v>
      </c>
      <c r="AF352">
        <v>-12800</v>
      </c>
    </row>
    <row r="353" spans="1:32" x14ac:dyDescent="0.3">
      <c r="A353">
        <v>65032</v>
      </c>
      <c r="B353" t="s">
        <v>564</v>
      </c>
      <c r="C353">
        <v>5</v>
      </c>
      <c r="D353">
        <v>95</v>
      </c>
      <c r="K353">
        <v>6.84</v>
      </c>
      <c r="O353">
        <v>95</v>
      </c>
      <c r="AF353">
        <v>-8230</v>
      </c>
    </row>
    <row r="354" spans="1:32" x14ac:dyDescent="0.3">
      <c r="A354">
        <v>65035</v>
      </c>
      <c r="B354" t="s">
        <v>565</v>
      </c>
      <c r="C354">
        <v>99</v>
      </c>
      <c r="D354">
        <v>1</v>
      </c>
      <c r="K354">
        <v>6.84</v>
      </c>
      <c r="O354">
        <v>1</v>
      </c>
      <c r="AF354">
        <v>-2300</v>
      </c>
    </row>
    <row r="355" spans="1:32" x14ac:dyDescent="0.3">
      <c r="A355">
        <v>65036</v>
      </c>
      <c r="B355" t="s">
        <v>566</v>
      </c>
      <c r="C355">
        <v>5</v>
      </c>
      <c r="D355">
        <v>95</v>
      </c>
      <c r="O355">
        <v>95</v>
      </c>
    </row>
    <row r="356" spans="1:32" x14ac:dyDescent="0.3">
      <c r="A356">
        <v>65037</v>
      </c>
      <c r="B356" t="s">
        <v>567</v>
      </c>
      <c r="C356">
        <v>5</v>
      </c>
      <c r="D356">
        <v>95</v>
      </c>
      <c r="O356">
        <v>95</v>
      </c>
    </row>
    <row r="357" spans="1:32" x14ac:dyDescent="0.3">
      <c r="A357">
        <v>65040</v>
      </c>
      <c r="B357" t="s">
        <v>568</v>
      </c>
      <c r="C357">
        <v>5</v>
      </c>
      <c r="D357">
        <v>95</v>
      </c>
      <c r="O357">
        <v>95</v>
      </c>
    </row>
    <row r="358" spans="1:32" x14ac:dyDescent="0.3">
      <c r="A358">
        <v>65045</v>
      </c>
      <c r="B358" t="s">
        <v>569</v>
      </c>
      <c r="C358">
        <v>6</v>
      </c>
      <c r="D358">
        <v>94</v>
      </c>
      <c r="O358">
        <v>94</v>
      </c>
    </row>
    <row r="359" spans="1:32" x14ac:dyDescent="0.3">
      <c r="A359">
        <v>65100</v>
      </c>
      <c r="B359" t="s">
        <v>570</v>
      </c>
      <c r="C359">
        <v>99</v>
      </c>
      <c r="D359">
        <v>1</v>
      </c>
      <c r="O359">
        <v>1</v>
      </c>
    </row>
    <row r="360" spans="1:32" x14ac:dyDescent="0.3">
      <c r="A360">
        <v>65105</v>
      </c>
      <c r="B360" t="s">
        <v>571</v>
      </c>
      <c r="C360">
        <v>99</v>
      </c>
      <c r="D360">
        <v>1</v>
      </c>
      <c r="O360">
        <v>1</v>
      </c>
    </row>
    <row r="361" spans="1:32" x14ac:dyDescent="0.3">
      <c r="A361">
        <v>65106</v>
      </c>
      <c r="B361" t="s">
        <v>572</v>
      </c>
      <c r="C361">
        <v>99</v>
      </c>
      <c r="D361">
        <v>1</v>
      </c>
      <c r="O361">
        <v>1</v>
      </c>
    </row>
    <row r="362" spans="1:32" x14ac:dyDescent="0.3">
      <c r="A362">
        <v>65107</v>
      </c>
      <c r="B362" t="s">
        <v>573</v>
      </c>
      <c r="C362">
        <v>99</v>
      </c>
      <c r="D362">
        <v>1</v>
      </c>
      <c r="O362">
        <v>1</v>
      </c>
    </row>
    <row r="363" spans="1:32" x14ac:dyDescent="0.3">
      <c r="A363">
        <v>65108</v>
      </c>
      <c r="B363" t="s">
        <v>574</v>
      </c>
      <c r="C363">
        <v>99</v>
      </c>
      <c r="D363">
        <v>1</v>
      </c>
      <c r="O363">
        <v>1</v>
      </c>
    </row>
    <row r="364" spans="1:32" x14ac:dyDescent="0.3">
      <c r="A364">
        <v>66000</v>
      </c>
      <c r="B364" t="s">
        <v>575</v>
      </c>
      <c r="D364">
        <v>100</v>
      </c>
      <c r="O364">
        <v>100</v>
      </c>
    </row>
    <row r="365" spans="1:32" x14ac:dyDescent="0.3">
      <c r="A365">
        <v>66020</v>
      </c>
      <c r="B365" t="s">
        <v>576</v>
      </c>
      <c r="D365">
        <v>100</v>
      </c>
      <c r="O365">
        <v>100</v>
      </c>
      <c r="X365">
        <v>960</v>
      </c>
      <c r="AB365">
        <v>827</v>
      </c>
      <c r="AC365">
        <v>827</v>
      </c>
      <c r="AD365">
        <v>620</v>
      </c>
    </row>
    <row r="366" spans="1:32" x14ac:dyDescent="0.3">
      <c r="A366">
        <v>66040</v>
      </c>
      <c r="B366" t="s">
        <v>577</v>
      </c>
      <c r="D366">
        <v>100</v>
      </c>
      <c r="O366">
        <v>100</v>
      </c>
    </row>
    <row r="367" spans="1:32" x14ac:dyDescent="0.3">
      <c r="A367">
        <v>66060</v>
      </c>
      <c r="B367" t="s">
        <v>578</v>
      </c>
      <c r="D367">
        <v>100</v>
      </c>
      <c r="O367">
        <v>100</v>
      </c>
    </row>
    <row r="368" spans="1:32" x14ac:dyDescent="0.3">
      <c r="A368">
        <v>66080</v>
      </c>
      <c r="B368" t="s">
        <v>579</v>
      </c>
      <c r="D368">
        <v>100</v>
      </c>
      <c r="O368">
        <v>100</v>
      </c>
    </row>
    <row r="369" spans="1:35" x14ac:dyDescent="0.3">
      <c r="A369">
        <v>66100</v>
      </c>
      <c r="B369" t="s">
        <v>580</v>
      </c>
      <c r="D369">
        <v>100</v>
      </c>
      <c r="O369">
        <v>100</v>
      </c>
    </row>
    <row r="370" spans="1:35" x14ac:dyDescent="0.3">
      <c r="A370">
        <v>66120</v>
      </c>
      <c r="B370" t="s">
        <v>581</v>
      </c>
      <c r="D370">
        <v>100</v>
      </c>
      <c r="O370">
        <v>100</v>
      </c>
    </row>
    <row r="371" spans="1:35" x14ac:dyDescent="0.3">
      <c r="A371">
        <v>66140</v>
      </c>
      <c r="B371" t="s">
        <v>582</v>
      </c>
      <c r="D371">
        <v>100</v>
      </c>
      <c r="O371">
        <v>100</v>
      </c>
    </row>
    <row r="372" spans="1:35" x14ac:dyDescent="0.3">
      <c r="A372">
        <v>66142</v>
      </c>
      <c r="B372" t="s">
        <v>583</v>
      </c>
      <c r="C372">
        <v>10</v>
      </c>
      <c r="D372">
        <v>90</v>
      </c>
      <c r="O372">
        <v>90</v>
      </c>
      <c r="X372">
        <v>3300</v>
      </c>
      <c r="AB372">
        <v>3000</v>
      </c>
      <c r="AC372">
        <v>3000</v>
      </c>
      <c r="AD372">
        <v>3000</v>
      </c>
      <c r="AI372">
        <v>700</v>
      </c>
    </row>
    <row r="373" spans="1:35" x14ac:dyDescent="0.3">
      <c r="A373">
        <v>66160</v>
      </c>
      <c r="B373" t="s">
        <v>584</v>
      </c>
      <c r="D373">
        <v>100</v>
      </c>
      <c r="O373">
        <v>100</v>
      </c>
    </row>
    <row r="374" spans="1:35" x14ac:dyDescent="0.3">
      <c r="A374">
        <v>66180</v>
      </c>
      <c r="B374" t="s">
        <v>585</v>
      </c>
      <c r="D374">
        <v>100</v>
      </c>
      <c r="O374">
        <v>100</v>
      </c>
    </row>
    <row r="375" spans="1:35" x14ac:dyDescent="0.3">
      <c r="A375">
        <v>66200</v>
      </c>
      <c r="B375" t="s">
        <v>586</v>
      </c>
      <c r="D375">
        <v>100</v>
      </c>
      <c r="K375">
        <v>6.84</v>
      </c>
      <c r="O375">
        <v>100</v>
      </c>
    </row>
    <row r="376" spans="1:35" x14ac:dyDescent="0.3">
      <c r="A376">
        <v>66201</v>
      </c>
      <c r="B376" t="s">
        <v>587</v>
      </c>
      <c r="D376">
        <v>100</v>
      </c>
      <c r="K376">
        <v>6.84</v>
      </c>
      <c r="O376">
        <v>100</v>
      </c>
    </row>
    <row r="377" spans="1:35" x14ac:dyDescent="0.3">
      <c r="A377">
        <v>66202</v>
      </c>
      <c r="B377" t="s">
        <v>588</v>
      </c>
      <c r="D377">
        <v>100</v>
      </c>
      <c r="K377">
        <v>6.84</v>
      </c>
      <c r="O377">
        <v>100</v>
      </c>
    </row>
    <row r="378" spans="1:35" x14ac:dyDescent="0.3">
      <c r="A378">
        <v>66203</v>
      </c>
      <c r="B378" t="s">
        <v>589</v>
      </c>
      <c r="D378">
        <v>100</v>
      </c>
      <c r="K378">
        <v>6.84</v>
      </c>
      <c r="O378">
        <v>100</v>
      </c>
    </row>
    <row r="379" spans="1:35" x14ac:dyDescent="0.3">
      <c r="A379">
        <v>66204</v>
      </c>
      <c r="B379" t="s">
        <v>590</v>
      </c>
      <c r="D379">
        <v>100</v>
      </c>
      <c r="K379">
        <v>6.84</v>
      </c>
      <c r="O379">
        <v>100</v>
      </c>
    </row>
    <row r="380" spans="1:35" x14ac:dyDescent="0.3">
      <c r="A380">
        <v>66500</v>
      </c>
      <c r="B380" t="s">
        <v>591</v>
      </c>
      <c r="C380">
        <v>1</v>
      </c>
      <c r="D380">
        <v>99</v>
      </c>
      <c r="O380">
        <v>99</v>
      </c>
    </row>
    <row r="381" spans="1:35" x14ac:dyDescent="0.3">
      <c r="A381">
        <v>66510</v>
      </c>
      <c r="B381" t="s">
        <v>592</v>
      </c>
      <c r="C381">
        <v>1</v>
      </c>
      <c r="D381">
        <v>99</v>
      </c>
      <c r="O381">
        <v>99</v>
      </c>
    </row>
    <row r="382" spans="1:35" x14ac:dyDescent="0.3">
      <c r="A382">
        <v>66511</v>
      </c>
      <c r="B382" t="s">
        <v>593</v>
      </c>
      <c r="C382">
        <v>1</v>
      </c>
      <c r="D382">
        <v>99</v>
      </c>
      <c r="O382">
        <v>99</v>
      </c>
    </row>
    <row r="383" spans="1:35" x14ac:dyDescent="0.3">
      <c r="A383">
        <v>66600</v>
      </c>
      <c r="B383" t="s">
        <v>594</v>
      </c>
      <c r="C383">
        <v>1</v>
      </c>
      <c r="D383">
        <v>99</v>
      </c>
      <c r="O383">
        <v>99</v>
      </c>
    </row>
    <row r="384" spans="1:35" x14ac:dyDescent="0.3">
      <c r="A384">
        <v>67000</v>
      </c>
      <c r="B384" t="s">
        <v>595</v>
      </c>
      <c r="D384">
        <v>100</v>
      </c>
      <c r="O384">
        <v>100</v>
      </c>
    </row>
    <row r="385" spans="1:15" x14ac:dyDescent="0.3">
      <c r="A385">
        <v>67001</v>
      </c>
      <c r="B385" t="s">
        <v>34</v>
      </c>
      <c r="D385">
        <v>100</v>
      </c>
      <c r="O385">
        <v>100</v>
      </c>
    </row>
    <row r="386" spans="1:15" x14ac:dyDescent="0.3">
      <c r="A386">
        <v>67002</v>
      </c>
      <c r="B386" t="s">
        <v>596</v>
      </c>
      <c r="D386">
        <v>100</v>
      </c>
      <c r="O386">
        <v>100</v>
      </c>
    </row>
    <row r="387" spans="1:15" x14ac:dyDescent="0.3">
      <c r="A387">
        <v>67003</v>
      </c>
      <c r="B387" t="s">
        <v>597</v>
      </c>
      <c r="D387">
        <v>100</v>
      </c>
      <c r="O387">
        <v>100</v>
      </c>
    </row>
    <row r="388" spans="1:15" x14ac:dyDescent="0.3">
      <c r="A388">
        <v>67004</v>
      </c>
      <c r="B388" t="s">
        <v>598</v>
      </c>
      <c r="D388">
        <v>100</v>
      </c>
      <c r="O388">
        <v>100</v>
      </c>
    </row>
    <row r="389" spans="1:15" x14ac:dyDescent="0.3">
      <c r="A389">
        <v>67020</v>
      </c>
      <c r="B389" t="s">
        <v>599</v>
      </c>
      <c r="C389">
        <v>6</v>
      </c>
      <c r="D389">
        <v>94</v>
      </c>
      <c r="O389">
        <v>94</v>
      </c>
    </row>
    <row r="390" spans="1:15" x14ac:dyDescent="0.3">
      <c r="A390">
        <v>67025</v>
      </c>
      <c r="B390" t="s">
        <v>600</v>
      </c>
      <c r="C390">
        <v>6</v>
      </c>
      <c r="D390">
        <v>94</v>
      </c>
      <c r="O390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DB060-C85C-4C15-9D0F-B0450CF90548}">
  <dimension ref="A1:G28"/>
  <sheetViews>
    <sheetView zoomScale="80" zoomScaleNormal="80" workbookViewId="0">
      <selection activeCell="F31" sqref="F31"/>
    </sheetView>
  </sheetViews>
  <sheetFormatPr defaultRowHeight="14.4" x14ac:dyDescent="0.3"/>
  <cols>
    <col min="2" max="2" width="31.109375" bestFit="1" customWidth="1"/>
    <col min="3" max="3" width="10" bestFit="1" customWidth="1"/>
    <col min="4" max="4" width="10.44140625" customWidth="1"/>
    <col min="5" max="5" width="11.44140625" customWidth="1"/>
    <col min="6" max="6" width="12.109375" customWidth="1"/>
    <col min="7" max="7" width="14.21875" bestFit="1" customWidth="1"/>
  </cols>
  <sheetData>
    <row r="1" spans="1:7" ht="15" thickBot="1" x14ac:dyDescent="0.35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ht="28.8" x14ac:dyDescent="0.3">
      <c r="A2" s="1"/>
      <c r="B2" s="1"/>
      <c r="C2" s="2" t="s">
        <v>5</v>
      </c>
      <c r="D2" s="3" t="s">
        <v>6</v>
      </c>
      <c r="E2" s="3" t="s">
        <v>7</v>
      </c>
      <c r="F2" s="3" t="s">
        <v>8</v>
      </c>
      <c r="G2" s="3" t="s">
        <v>9</v>
      </c>
    </row>
    <row r="3" spans="1:7" x14ac:dyDescent="0.3">
      <c r="A3" s="1" t="s">
        <v>10</v>
      </c>
      <c r="B3" s="1" t="s">
        <v>11</v>
      </c>
      <c r="C3" s="1" t="s">
        <v>12</v>
      </c>
      <c r="D3" s="1">
        <v>1</v>
      </c>
      <c r="E3" s="1">
        <v>1</v>
      </c>
      <c r="F3" s="1">
        <v>1</v>
      </c>
      <c r="G3" s="1">
        <v>1</v>
      </c>
    </row>
    <row r="4" spans="1:7" x14ac:dyDescent="0.3">
      <c r="A4" s="1">
        <v>10200</v>
      </c>
      <c r="B4" s="1" t="s">
        <v>13</v>
      </c>
      <c r="C4" s="1" t="s">
        <v>12</v>
      </c>
      <c r="D4" s="4">
        <v>51.3733</v>
      </c>
      <c r="E4" s="4">
        <v>56.589400000000005</v>
      </c>
      <c r="F4" s="4">
        <v>61.040599999999998</v>
      </c>
      <c r="G4" s="4">
        <v>65.047499999999999</v>
      </c>
    </row>
    <row r="5" spans="1:7" x14ac:dyDescent="0.3">
      <c r="A5" s="1">
        <v>22045</v>
      </c>
      <c r="B5" s="1" t="s">
        <v>14</v>
      </c>
      <c r="C5" s="1" t="s">
        <v>12</v>
      </c>
      <c r="D5" s="4">
        <v>36.824100000000001</v>
      </c>
      <c r="E5" s="4">
        <v>32.7545</v>
      </c>
      <c r="F5" s="4">
        <v>28.752300000000002</v>
      </c>
      <c r="G5" s="4">
        <v>24.808499999999999</v>
      </c>
    </row>
    <row r="6" spans="1:7" x14ac:dyDescent="0.3">
      <c r="A6" s="1">
        <v>22510</v>
      </c>
      <c r="B6" s="1" t="s">
        <v>15</v>
      </c>
      <c r="C6" s="1" t="s">
        <v>12</v>
      </c>
      <c r="D6" s="4">
        <v>1</v>
      </c>
      <c r="E6" s="4">
        <v>1.5</v>
      </c>
      <c r="F6" s="4">
        <v>2</v>
      </c>
      <c r="G6" s="4">
        <v>2.5</v>
      </c>
    </row>
    <row r="7" spans="1:7" x14ac:dyDescent="0.3">
      <c r="A7" s="1">
        <v>22560</v>
      </c>
      <c r="B7" s="1" t="s">
        <v>16</v>
      </c>
      <c r="C7" s="1" t="s">
        <v>12</v>
      </c>
      <c r="D7" s="4">
        <v>3</v>
      </c>
      <c r="E7" s="4">
        <v>2</v>
      </c>
      <c r="F7" s="4">
        <v>1.5</v>
      </c>
      <c r="G7" s="4">
        <v>1</v>
      </c>
    </row>
    <row r="8" spans="1:7" x14ac:dyDescent="0.3">
      <c r="A8" s="1">
        <v>24415</v>
      </c>
      <c r="B8" s="1" t="s">
        <v>17</v>
      </c>
      <c r="C8" s="1" t="s">
        <v>12</v>
      </c>
      <c r="D8" s="4">
        <v>0.5</v>
      </c>
      <c r="E8" s="4">
        <v>0.5</v>
      </c>
      <c r="F8" s="4">
        <v>0.5</v>
      </c>
      <c r="G8" s="4">
        <v>0.5</v>
      </c>
    </row>
    <row r="9" spans="1:7" x14ac:dyDescent="0.3">
      <c r="A9" s="1">
        <v>30000</v>
      </c>
      <c r="B9" s="1" t="s">
        <v>18</v>
      </c>
      <c r="C9" s="1" t="s">
        <v>12</v>
      </c>
      <c r="D9" s="4">
        <v>2.9882</v>
      </c>
      <c r="E9" s="4">
        <v>3.1819000000000002</v>
      </c>
      <c r="F9" s="4">
        <v>3.0943999999999998</v>
      </c>
      <c r="G9" s="4">
        <v>3.1711</v>
      </c>
    </row>
    <row r="10" spans="1:7" x14ac:dyDescent="0.3">
      <c r="A10" s="1">
        <v>35020</v>
      </c>
      <c r="B10" s="1" t="s">
        <v>19</v>
      </c>
      <c r="C10" s="1" t="s">
        <v>12</v>
      </c>
      <c r="D10" s="4">
        <v>1.1444000000000001</v>
      </c>
      <c r="E10" s="4">
        <v>0.84199999999999997</v>
      </c>
      <c r="F10" s="4">
        <v>0.53869999999999996</v>
      </c>
      <c r="G10" s="4">
        <v>0.3458</v>
      </c>
    </row>
    <row r="11" spans="1:7" x14ac:dyDescent="0.3">
      <c r="A11" s="1">
        <v>36001</v>
      </c>
      <c r="B11" s="1" t="s">
        <v>20</v>
      </c>
      <c r="C11" s="5" t="s">
        <v>12</v>
      </c>
      <c r="D11" s="4">
        <v>1.2853000000000001</v>
      </c>
      <c r="E11" s="4">
        <v>0.94779999999999998</v>
      </c>
      <c r="F11" s="4">
        <v>0.90769999999999995</v>
      </c>
      <c r="G11" s="4">
        <v>0.92849999999999999</v>
      </c>
    </row>
    <row r="12" spans="1:7" x14ac:dyDescent="0.3">
      <c r="A12" s="1">
        <v>36025</v>
      </c>
      <c r="B12" s="1" t="s">
        <v>21</v>
      </c>
      <c r="C12" s="5" t="s">
        <v>12</v>
      </c>
      <c r="D12" s="4">
        <v>0.25</v>
      </c>
      <c r="E12" s="4">
        <v>0.25</v>
      </c>
      <c r="F12" s="4">
        <v>0.25</v>
      </c>
      <c r="G12" s="4">
        <v>0.25</v>
      </c>
    </row>
    <row r="13" spans="1:7" x14ac:dyDescent="0.3">
      <c r="A13" s="1">
        <v>37000</v>
      </c>
      <c r="B13" s="1" t="s">
        <v>22</v>
      </c>
      <c r="C13" s="5" t="s">
        <v>12</v>
      </c>
      <c r="D13" s="4">
        <v>0.27860000000000001</v>
      </c>
      <c r="E13" s="4">
        <v>0.29530000000000001</v>
      </c>
      <c r="F13" s="4">
        <v>0.26150000000000001</v>
      </c>
      <c r="G13" s="4">
        <v>0.2616</v>
      </c>
    </row>
    <row r="14" spans="1:7" x14ac:dyDescent="0.3">
      <c r="A14" s="1">
        <v>37001</v>
      </c>
      <c r="B14" s="1" t="s">
        <v>23</v>
      </c>
      <c r="C14" s="5" t="s">
        <v>12</v>
      </c>
      <c r="D14" s="4">
        <v>0.21340000000000001</v>
      </c>
      <c r="E14" s="4">
        <v>0.1154</v>
      </c>
      <c r="F14" s="4">
        <v>8.9499999999999996E-2</v>
      </c>
      <c r="G14" s="4">
        <v>8.8599999999999998E-2</v>
      </c>
    </row>
    <row r="15" spans="1:7" x14ac:dyDescent="0.3">
      <c r="A15" s="1">
        <v>40000</v>
      </c>
      <c r="B15" s="1" t="s">
        <v>24</v>
      </c>
      <c r="C15" s="5" t="s">
        <v>12</v>
      </c>
      <c r="D15" s="4">
        <v>0.15</v>
      </c>
      <c r="E15" s="4">
        <v>0.15</v>
      </c>
      <c r="F15" s="4">
        <v>0.15</v>
      </c>
      <c r="G15" s="4">
        <v>0.15</v>
      </c>
    </row>
    <row r="16" spans="1:7" x14ac:dyDescent="0.3">
      <c r="A16" s="1">
        <v>45000</v>
      </c>
      <c r="B16" s="1" t="s">
        <v>25</v>
      </c>
      <c r="C16" s="5" t="s">
        <v>12</v>
      </c>
      <c r="D16" s="1">
        <v>0.31609999999999999</v>
      </c>
      <c r="E16" s="1">
        <v>0.26519999999999999</v>
      </c>
      <c r="F16" s="1">
        <v>0.26800000000000002</v>
      </c>
      <c r="G16" s="1">
        <v>0.26850000000000002</v>
      </c>
    </row>
    <row r="17" spans="1:7" x14ac:dyDescent="0.3">
      <c r="A17" s="1">
        <v>45050</v>
      </c>
      <c r="B17" s="1" t="s">
        <v>26</v>
      </c>
      <c r="C17" s="5" t="s">
        <v>12</v>
      </c>
      <c r="D17" s="1">
        <v>0.36959999999999998</v>
      </c>
      <c r="E17" s="1">
        <v>0.3448</v>
      </c>
      <c r="F17" s="1">
        <v>0.34329999999999999</v>
      </c>
      <c r="G17" s="1">
        <v>0.31709999999999999</v>
      </c>
    </row>
    <row r="18" spans="1:7" x14ac:dyDescent="0.3">
      <c r="A18" s="1">
        <v>45100</v>
      </c>
      <c r="B18" s="1" t="s">
        <v>27</v>
      </c>
      <c r="C18" s="5" t="s">
        <v>12</v>
      </c>
      <c r="D18" s="1">
        <v>0.14660000000000001</v>
      </c>
      <c r="E18" s="1">
        <v>0.13139999999999999</v>
      </c>
      <c r="F18" s="1">
        <v>0.12720000000000001</v>
      </c>
      <c r="G18" s="1">
        <v>0.1331</v>
      </c>
    </row>
    <row r="19" spans="1:7" x14ac:dyDescent="0.3">
      <c r="A19" s="1">
        <v>45250</v>
      </c>
      <c r="B19" s="1" t="s">
        <v>28</v>
      </c>
      <c r="C19" s="5" t="s">
        <v>12</v>
      </c>
      <c r="D19" s="1">
        <v>2.9700000000000001E-2</v>
      </c>
      <c r="E19" s="1">
        <v>1.9E-2</v>
      </c>
      <c r="F19" s="1">
        <v>3.2000000000000001E-2</v>
      </c>
      <c r="G19" s="1">
        <v>4.2799999999999998E-2</v>
      </c>
    </row>
    <row r="20" spans="1:7" x14ac:dyDescent="0.3">
      <c r="A20" s="1">
        <v>45300</v>
      </c>
      <c r="B20" s="1" t="s">
        <v>29</v>
      </c>
      <c r="C20" s="5" t="s">
        <v>12</v>
      </c>
      <c r="D20" s="1">
        <v>3.0800000000000001E-2</v>
      </c>
      <c r="E20" s="1">
        <v>1.84E-2</v>
      </c>
      <c r="F20" s="1">
        <v>5.8000000000000003E-2</v>
      </c>
      <c r="G20" s="1">
        <v>9.2899999999999996E-2</v>
      </c>
    </row>
    <row r="21" spans="1:7" x14ac:dyDescent="0.3">
      <c r="A21" s="1">
        <v>45350</v>
      </c>
      <c r="B21" s="1" t="s">
        <v>30</v>
      </c>
      <c r="C21" s="5" t="s">
        <v>12</v>
      </c>
      <c r="D21" s="1"/>
      <c r="E21" s="1"/>
      <c r="F21" s="1">
        <v>1.9199999999999998E-2</v>
      </c>
      <c r="G21" s="1">
        <v>2.6599999999999999E-2</v>
      </c>
    </row>
    <row r="22" spans="1:7" x14ac:dyDescent="0.3">
      <c r="A22" s="1">
        <v>62052</v>
      </c>
      <c r="B22" s="1" t="s">
        <v>31</v>
      </c>
      <c r="C22" s="5" t="s">
        <v>12</v>
      </c>
      <c r="D22" s="1"/>
      <c r="E22" s="1"/>
      <c r="F22" s="1">
        <v>2.75E-2</v>
      </c>
      <c r="G22" s="1">
        <v>2.75E-2</v>
      </c>
    </row>
    <row r="23" spans="1:7" x14ac:dyDescent="0.3">
      <c r="A23">
        <v>48052</v>
      </c>
      <c r="B23" t="s">
        <v>416</v>
      </c>
      <c r="C23" s="5" t="s">
        <v>12</v>
      </c>
      <c r="D23" s="4">
        <v>0.03</v>
      </c>
      <c r="E23" s="4">
        <v>2.5000000000000001E-2</v>
      </c>
      <c r="F23" s="4">
        <v>0.02</v>
      </c>
      <c r="G23" s="4">
        <v>0.02</v>
      </c>
    </row>
    <row r="24" spans="1:7" x14ac:dyDescent="0.3">
      <c r="A24" s="1">
        <v>62064</v>
      </c>
      <c r="B24" s="1" t="s">
        <v>32</v>
      </c>
      <c r="C24" s="5" t="s">
        <v>12</v>
      </c>
      <c r="D24" s="1">
        <v>0.05</v>
      </c>
      <c r="E24" s="1">
        <v>0.05</v>
      </c>
      <c r="F24" s="1"/>
      <c r="G24" s="1"/>
    </row>
    <row r="25" spans="1:7" x14ac:dyDescent="0.3">
      <c r="A25" s="1">
        <v>66142</v>
      </c>
      <c r="B25" s="1" t="s">
        <v>33</v>
      </c>
      <c r="C25" s="5" t="s">
        <v>12</v>
      </c>
      <c r="D25" s="1">
        <v>5.0000000000000001E-3</v>
      </c>
      <c r="E25" s="1">
        <v>5.0000000000000001E-3</v>
      </c>
      <c r="F25" s="1">
        <v>5.0000000000000001E-3</v>
      </c>
      <c r="G25" s="1">
        <v>5.0000000000000001E-3</v>
      </c>
    </row>
    <row r="26" spans="1:7" x14ac:dyDescent="0.3">
      <c r="A26" s="1">
        <v>67001</v>
      </c>
      <c r="B26" s="1" t="s">
        <v>34</v>
      </c>
      <c r="C26" s="5" t="s">
        <v>12</v>
      </c>
      <c r="D26" s="1">
        <v>1.4999999999999999E-2</v>
      </c>
      <c r="E26" s="1">
        <v>1.4999999999999999E-2</v>
      </c>
      <c r="F26" s="1">
        <v>1.4999999999999999E-2</v>
      </c>
      <c r="G26" s="1">
        <v>1.4999999999999999E-2</v>
      </c>
    </row>
    <row r="28" spans="1:7" x14ac:dyDescent="0.3">
      <c r="D28" s="10"/>
      <c r="E28" s="10"/>
      <c r="F28" s="10"/>
      <c r="G28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EC51E-A402-4FF6-8F9B-1BA1DD635D28}">
  <dimension ref="A2:L68"/>
  <sheetViews>
    <sheetView tabSelected="1" zoomScale="80" zoomScaleNormal="80" workbookViewId="0">
      <selection activeCell="L8" sqref="L8"/>
    </sheetView>
  </sheetViews>
  <sheetFormatPr defaultRowHeight="14.4" x14ac:dyDescent="0.3"/>
  <cols>
    <col min="2" max="2" width="21.88671875" customWidth="1"/>
    <col min="3" max="3" width="10" bestFit="1" customWidth="1"/>
    <col min="4" max="4" width="10.44140625" customWidth="1"/>
    <col min="5" max="5" width="11.44140625" customWidth="1"/>
    <col min="6" max="6" width="12.109375" customWidth="1"/>
    <col min="7" max="7" width="14.21875" bestFit="1" customWidth="1"/>
  </cols>
  <sheetData>
    <row r="2" spans="1:7" ht="28.8" x14ac:dyDescent="0.3">
      <c r="A2" s="1" t="s">
        <v>35</v>
      </c>
      <c r="B2" s="1" t="s">
        <v>36</v>
      </c>
      <c r="C2" s="1" t="s">
        <v>5</v>
      </c>
      <c r="D2" s="12" t="s">
        <v>6</v>
      </c>
      <c r="E2" s="12" t="s">
        <v>7</v>
      </c>
      <c r="F2" s="12" t="s">
        <v>8</v>
      </c>
      <c r="G2" s="12" t="s">
        <v>9</v>
      </c>
    </row>
    <row r="3" spans="1:7" x14ac:dyDescent="0.3">
      <c r="A3" s="1">
        <v>1</v>
      </c>
      <c r="B3" s="1" t="s">
        <v>37</v>
      </c>
      <c r="C3" s="1" t="s">
        <v>12</v>
      </c>
      <c r="D3" s="1">
        <v>11.148999999999999</v>
      </c>
      <c r="E3" s="1">
        <v>11.199</v>
      </c>
      <c r="F3" s="1">
        <v>11.227</v>
      </c>
      <c r="G3" s="1">
        <v>11.214</v>
      </c>
    </row>
    <row r="4" spans="1:7" x14ac:dyDescent="0.3">
      <c r="A4" s="1">
        <v>5</v>
      </c>
      <c r="B4" s="1" t="s">
        <v>38</v>
      </c>
      <c r="C4" s="1" t="s">
        <v>12</v>
      </c>
      <c r="D4" s="1">
        <v>88.850999999999999</v>
      </c>
      <c r="E4" s="1">
        <v>88.801000000000002</v>
      </c>
      <c r="F4" s="1">
        <v>88.772999999999996</v>
      </c>
      <c r="G4" s="1">
        <v>88.786000000000001</v>
      </c>
    </row>
    <row r="5" spans="1:7" x14ac:dyDescent="0.3">
      <c r="A5" s="1">
        <v>10</v>
      </c>
      <c r="B5" s="1" t="s">
        <v>39</v>
      </c>
      <c r="C5" s="1" t="s">
        <v>12</v>
      </c>
      <c r="D5" s="1">
        <v>23.937999999999999</v>
      </c>
      <c r="E5" s="1">
        <v>22.192</v>
      </c>
      <c r="F5" s="1">
        <v>20.805</v>
      </c>
      <c r="G5" s="1">
        <v>19.396999999999998</v>
      </c>
    </row>
    <row r="6" spans="1:7" x14ac:dyDescent="0.3">
      <c r="A6" s="1">
        <v>15</v>
      </c>
      <c r="B6" s="1" t="s">
        <v>40</v>
      </c>
      <c r="C6" s="1" t="s">
        <v>12</v>
      </c>
      <c r="D6" s="1">
        <v>5.6070000000000002</v>
      </c>
      <c r="E6" s="1">
        <v>5.907</v>
      </c>
      <c r="F6" s="1">
        <v>5.9119999999999999</v>
      </c>
      <c r="G6" s="1">
        <v>6.0659999999999998</v>
      </c>
    </row>
    <row r="7" spans="1:7" x14ac:dyDescent="0.3">
      <c r="A7" s="1">
        <v>16</v>
      </c>
      <c r="B7" s="1" t="s">
        <v>41</v>
      </c>
      <c r="C7" s="1" t="s">
        <v>12</v>
      </c>
      <c r="D7" s="1">
        <v>6.149</v>
      </c>
      <c r="E7" s="1">
        <v>6.4260000000000002</v>
      </c>
      <c r="F7" s="1">
        <v>6.42</v>
      </c>
      <c r="G7" s="1">
        <v>6.56</v>
      </c>
    </row>
    <row r="8" spans="1:7" x14ac:dyDescent="0.3">
      <c r="A8" s="1">
        <v>20</v>
      </c>
      <c r="B8" s="1" t="s">
        <v>42</v>
      </c>
      <c r="C8" s="1" t="s">
        <v>12</v>
      </c>
      <c r="D8" s="1">
        <v>3.2210000000000001</v>
      </c>
      <c r="E8" s="1">
        <v>3.109</v>
      </c>
      <c r="F8" s="1">
        <v>2.9929999999999999</v>
      </c>
      <c r="G8" s="1">
        <v>2.8719999999999999</v>
      </c>
    </row>
    <row r="9" spans="1:7" x14ac:dyDescent="0.3">
      <c r="A9" s="1">
        <v>23</v>
      </c>
      <c r="B9" s="1" t="s">
        <v>43</v>
      </c>
      <c r="C9" s="1" t="s">
        <v>12</v>
      </c>
      <c r="D9" s="1">
        <v>6.319</v>
      </c>
      <c r="E9" s="1">
        <v>5.9809999999999999</v>
      </c>
      <c r="F9" s="1">
        <v>5.6580000000000004</v>
      </c>
      <c r="G9" s="1">
        <v>5.3289999999999997</v>
      </c>
    </row>
    <row r="10" spans="1:7" x14ac:dyDescent="0.3">
      <c r="A10" s="1">
        <v>26</v>
      </c>
      <c r="B10" s="1" t="s">
        <v>44</v>
      </c>
      <c r="C10" s="1" t="s">
        <v>12</v>
      </c>
      <c r="D10" s="1">
        <v>6.851</v>
      </c>
      <c r="E10" s="1">
        <v>6.9870000000000001</v>
      </c>
      <c r="F10" s="1">
        <v>7.08</v>
      </c>
      <c r="G10" s="1">
        <v>7.141</v>
      </c>
    </row>
    <row r="11" spans="1:7" x14ac:dyDescent="0.3">
      <c r="A11" s="1">
        <v>29</v>
      </c>
      <c r="B11" s="1" t="s">
        <v>45</v>
      </c>
      <c r="C11" s="1" t="s">
        <v>12</v>
      </c>
      <c r="D11" s="1">
        <v>5.4420000000000002</v>
      </c>
      <c r="E11" s="1">
        <v>4.694</v>
      </c>
      <c r="F11" s="1">
        <v>4.2229999999999999</v>
      </c>
      <c r="G11" s="1">
        <v>3.9</v>
      </c>
    </row>
    <row r="12" spans="1:7" x14ac:dyDescent="0.3">
      <c r="A12" s="1">
        <v>50</v>
      </c>
      <c r="B12" s="1" t="s">
        <v>46</v>
      </c>
      <c r="C12" s="1" t="s">
        <v>47</v>
      </c>
      <c r="D12" s="13">
        <v>2975.002</v>
      </c>
      <c r="E12" s="13">
        <v>3050.002</v>
      </c>
      <c r="F12" s="13">
        <v>3100.0030000000002</v>
      </c>
      <c r="G12" s="13">
        <v>3150.0030000000002</v>
      </c>
    </row>
    <row r="13" spans="1:7" x14ac:dyDescent="0.3">
      <c r="A13" s="1">
        <v>104</v>
      </c>
      <c r="B13" s="1" t="s">
        <v>48</v>
      </c>
      <c r="C13" s="1" t="s">
        <v>12</v>
      </c>
      <c r="D13" s="14">
        <v>1.32</v>
      </c>
      <c r="E13" s="14">
        <v>1.204</v>
      </c>
      <c r="F13" s="14">
        <v>1.135</v>
      </c>
      <c r="G13" s="14">
        <v>1.0629999999999999</v>
      </c>
    </row>
    <row r="14" spans="1:7" x14ac:dyDescent="0.3">
      <c r="A14" s="1">
        <v>76</v>
      </c>
      <c r="B14" s="1" t="s">
        <v>49</v>
      </c>
      <c r="C14" s="1" t="s">
        <v>12</v>
      </c>
      <c r="D14" s="1">
        <v>0.96</v>
      </c>
      <c r="E14" s="1">
        <v>0.75</v>
      </c>
      <c r="F14" s="1">
        <v>0.65</v>
      </c>
      <c r="G14" s="1">
        <v>0.6</v>
      </c>
    </row>
    <row r="15" spans="1:7" x14ac:dyDescent="0.3">
      <c r="A15" s="1">
        <v>77</v>
      </c>
      <c r="B15" s="1" t="s">
        <v>50</v>
      </c>
      <c r="C15" s="1" t="s">
        <v>12</v>
      </c>
      <c r="D15" s="6">
        <v>0.877</v>
      </c>
      <c r="E15" s="6">
        <v>0.66700000000000004</v>
      </c>
      <c r="F15" s="6">
        <v>0.56699999999999995</v>
      </c>
      <c r="G15" s="6">
        <v>0.51700000000000002</v>
      </c>
    </row>
    <row r="16" spans="1:7" x14ac:dyDescent="0.3">
      <c r="A16" s="1">
        <v>80</v>
      </c>
      <c r="B16" s="1" t="s">
        <v>51</v>
      </c>
      <c r="C16" s="1" t="s">
        <v>12</v>
      </c>
      <c r="D16" s="1">
        <v>0.57599999999999996</v>
      </c>
      <c r="E16" s="1">
        <v>0.50700000000000001</v>
      </c>
      <c r="F16" s="1">
        <v>0.438</v>
      </c>
      <c r="G16" s="1">
        <v>0.39</v>
      </c>
    </row>
    <row r="17" spans="1:12" x14ac:dyDescent="0.3">
      <c r="A17" s="1">
        <v>83</v>
      </c>
      <c r="B17" s="1" t="s">
        <v>52</v>
      </c>
      <c r="C17" s="1" t="s">
        <v>12</v>
      </c>
      <c r="D17" s="1">
        <v>0.49</v>
      </c>
      <c r="E17" s="1">
        <v>0.43</v>
      </c>
      <c r="F17" s="1">
        <v>0.37</v>
      </c>
      <c r="G17" s="1">
        <v>0.33</v>
      </c>
    </row>
    <row r="18" spans="1:12" x14ac:dyDescent="0.3">
      <c r="A18" s="1">
        <v>85</v>
      </c>
      <c r="B18" s="1" t="s">
        <v>53</v>
      </c>
      <c r="C18" s="1" t="s">
        <v>12</v>
      </c>
      <c r="D18" s="1">
        <v>0.246</v>
      </c>
      <c r="E18" s="1">
        <v>0.23699999999999999</v>
      </c>
      <c r="F18" s="1">
        <v>0.22800000000000001</v>
      </c>
      <c r="G18" s="1">
        <v>0.22</v>
      </c>
    </row>
    <row r="19" spans="1:12" x14ac:dyDescent="0.3">
      <c r="A19" s="1">
        <v>89</v>
      </c>
      <c r="B19" s="1" t="s">
        <v>54</v>
      </c>
      <c r="C19" s="1" t="s">
        <v>12</v>
      </c>
      <c r="D19" s="1">
        <v>0.154</v>
      </c>
      <c r="E19" s="1">
        <v>8.3000000000000004E-2</v>
      </c>
      <c r="F19" s="1">
        <v>6.4000000000000001E-2</v>
      </c>
      <c r="G19" s="1">
        <v>6.4000000000000001E-2</v>
      </c>
    </row>
    <row r="20" spans="1:12" x14ac:dyDescent="0.3">
      <c r="A20" s="1">
        <v>90</v>
      </c>
      <c r="B20" s="1" t="s">
        <v>55</v>
      </c>
      <c r="C20" s="1" t="s">
        <v>12</v>
      </c>
      <c r="D20" s="1">
        <v>0.22</v>
      </c>
      <c r="E20" s="1">
        <v>0.2</v>
      </c>
      <c r="F20" s="1">
        <v>0.18</v>
      </c>
      <c r="G20" s="1">
        <v>0.18</v>
      </c>
    </row>
    <row r="21" spans="1:12" x14ac:dyDescent="0.3">
      <c r="A21" s="1">
        <v>93</v>
      </c>
      <c r="B21" s="1" t="s">
        <v>56</v>
      </c>
      <c r="C21" s="1" t="s">
        <v>57</v>
      </c>
      <c r="D21" s="1">
        <v>0.28000000000000003</v>
      </c>
      <c r="E21" s="1">
        <v>0.28000000000000003</v>
      </c>
      <c r="F21" s="1">
        <v>0.26</v>
      </c>
      <c r="G21" s="1">
        <v>0.26</v>
      </c>
    </row>
    <row r="22" spans="1:12" x14ac:dyDescent="0.3">
      <c r="A22" s="1">
        <v>96</v>
      </c>
      <c r="B22" s="1" t="s">
        <v>58</v>
      </c>
      <c r="C22" s="1" t="s">
        <v>12</v>
      </c>
      <c r="D22" s="1">
        <v>0.92700000000000005</v>
      </c>
      <c r="E22" s="1">
        <v>0.872</v>
      </c>
      <c r="F22" s="1">
        <v>0.81699999999999995</v>
      </c>
      <c r="G22" s="1">
        <v>0.76100000000000001</v>
      </c>
    </row>
    <row r="23" spans="1:12" x14ac:dyDescent="0.3">
      <c r="A23" s="1">
        <v>98</v>
      </c>
      <c r="B23" s="1" t="s">
        <v>59</v>
      </c>
      <c r="C23" s="1" t="s">
        <v>60</v>
      </c>
      <c r="D23" s="1">
        <v>253.726</v>
      </c>
      <c r="E23" s="1">
        <v>230.95500000000001</v>
      </c>
      <c r="F23" s="1">
        <v>213.81899999999999</v>
      </c>
      <c r="G23" s="1">
        <v>199.72</v>
      </c>
    </row>
    <row r="24" spans="1:12" x14ac:dyDescent="0.3">
      <c r="A24" s="1">
        <v>649</v>
      </c>
      <c r="B24" s="16" t="s">
        <v>61</v>
      </c>
      <c r="C24" s="15" t="s">
        <v>62</v>
      </c>
      <c r="D24" s="15">
        <v>1630</v>
      </c>
      <c r="E24" s="15">
        <v>1550</v>
      </c>
      <c r="F24" s="15">
        <v>1480</v>
      </c>
      <c r="G24" s="15">
        <v>1400</v>
      </c>
    </row>
    <row r="25" spans="1:12" x14ac:dyDescent="0.3">
      <c r="A25" s="1">
        <v>99</v>
      </c>
      <c r="B25" s="1" t="s">
        <v>63</v>
      </c>
      <c r="C25" s="1" t="s">
        <v>60</v>
      </c>
      <c r="D25" s="1">
        <v>384.51799999999997</v>
      </c>
      <c r="E25" s="1">
        <v>323.55099999999999</v>
      </c>
      <c r="F25" s="1">
        <v>308.483</v>
      </c>
      <c r="G25" s="1">
        <v>303.57</v>
      </c>
      <c r="I25" s="7" t="s">
        <v>601</v>
      </c>
      <c r="J25" s="7"/>
      <c r="K25" s="7"/>
      <c r="L25" s="7"/>
    </row>
    <row r="26" spans="1:12" x14ac:dyDescent="0.3">
      <c r="A26" s="1">
        <v>109</v>
      </c>
      <c r="B26" s="1" t="s">
        <v>64</v>
      </c>
      <c r="C26" s="1" t="s">
        <v>12</v>
      </c>
      <c r="D26" s="1">
        <v>0.69699999999999995</v>
      </c>
      <c r="E26" s="1">
        <v>0.65</v>
      </c>
      <c r="F26" s="1">
        <v>0.63200000000000001</v>
      </c>
      <c r="G26" s="1">
        <v>0.58899999999999997</v>
      </c>
      <c r="I26" s="8">
        <f t="shared" ref="I26:L45" si="0">D26/D$13*100</f>
        <v>52.803030303030297</v>
      </c>
      <c r="J26" s="8">
        <f t="shared" si="0"/>
        <v>53.986710963455153</v>
      </c>
      <c r="K26" s="8">
        <f t="shared" si="0"/>
        <v>55.682819383259904</v>
      </c>
      <c r="L26" s="8">
        <f t="shared" si="0"/>
        <v>55.409219190968948</v>
      </c>
    </row>
    <row r="27" spans="1:12" x14ac:dyDescent="0.3">
      <c r="A27" s="1">
        <v>114</v>
      </c>
      <c r="B27" s="1" t="s">
        <v>65</v>
      </c>
      <c r="C27" s="1" t="s">
        <v>12</v>
      </c>
      <c r="D27" s="1">
        <v>0.30599999999999999</v>
      </c>
      <c r="E27" s="1">
        <v>0.28899999999999998</v>
      </c>
      <c r="F27" s="1">
        <v>0.27600000000000002</v>
      </c>
      <c r="G27" s="1">
        <v>0.26200000000000001</v>
      </c>
      <c r="I27" s="8">
        <f t="shared" si="0"/>
        <v>23.18181818181818</v>
      </c>
      <c r="J27" s="8">
        <f t="shared" si="0"/>
        <v>24.003322259136212</v>
      </c>
      <c r="K27" s="8">
        <f t="shared" si="0"/>
        <v>24.317180616740089</v>
      </c>
      <c r="L27" s="8">
        <f t="shared" si="0"/>
        <v>24.647224835371592</v>
      </c>
    </row>
    <row r="28" spans="1:12" x14ac:dyDescent="0.3">
      <c r="A28" s="1">
        <v>119</v>
      </c>
      <c r="B28" s="1" t="s">
        <v>66</v>
      </c>
      <c r="C28" s="1" t="s">
        <v>12</v>
      </c>
      <c r="D28" s="1">
        <v>1.0029999999999999</v>
      </c>
      <c r="E28" s="1">
        <v>0.93899999999999995</v>
      </c>
      <c r="F28" s="1">
        <v>0.90800000000000003</v>
      </c>
      <c r="G28" s="1">
        <v>0.85099999999999998</v>
      </c>
      <c r="I28" s="8">
        <f t="shared" si="0"/>
        <v>75.98484848484847</v>
      </c>
      <c r="J28" s="8">
        <f t="shared" si="0"/>
        <v>77.990033222591364</v>
      </c>
      <c r="K28" s="8">
        <f t="shared" si="0"/>
        <v>80</v>
      </c>
      <c r="L28" s="8">
        <f t="shared" si="0"/>
        <v>80.056444026340543</v>
      </c>
    </row>
    <row r="29" spans="1:12" x14ac:dyDescent="0.3">
      <c r="A29" s="1">
        <v>124</v>
      </c>
      <c r="B29" s="1" t="s">
        <v>67</v>
      </c>
      <c r="C29" s="1" t="s">
        <v>12</v>
      </c>
      <c r="D29" s="1">
        <v>0.88400000000000001</v>
      </c>
      <c r="E29" s="1">
        <v>0.81899999999999995</v>
      </c>
      <c r="F29" s="1">
        <v>0.77200000000000002</v>
      </c>
      <c r="G29" s="1">
        <v>0.73399999999999999</v>
      </c>
      <c r="I29" s="8">
        <f t="shared" si="0"/>
        <v>66.969696969696969</v>
      </c>
      <c r="J29" s="8">
        <f t="shared" si="0"/>
        <v>68.023255813953483</v>
      </c>
      <c r="K29" s="8">
        <f t="shared" si="0"/>
        <v>68.017621145374449</v>
      </c>
      <c r="L29" s="8">
        <f t="shared" si="0"/>
        <v>69.049858889934143</v>
      </c>
    </row>
    <row r="30" spans="1:12" x14ac:dyDescent="0.3">
      <c r="A30" s="1">
        <v>129</v>
      </c>
      <c r="B30" s="1" t="s">
        <v>68</v>
      </c>
      <c r="C30" s="1" t="s">
        <v>12</v>
      </c>
      <c r="D30" s="1">
        <v>0.23899999999999999</v>
      </c>
      <c r="E30" s="1">
        <v>0.222</v>
      </c>
      <c r="F30" s="1">
        <v>0.20499999999999999</v>
      </c>
      <c r="G30" s="1">
        <v>0.189</v>
      </c>
      <c r="I30" s="8">
        <f t="shared" si="0"/>
        <v>18.106060606060602</v>
      </c>
      <c r="J30" s="8">
        <f t="shared" si="0"/>
        <v>18.438538205980066</v>
      </c>
      <c r="K30" s="8">
        <f t="shared" si="0"/>
        <v>18.06167400881057</v>
      </c>
      <c r="L30" s="8">
        <f t="shared" si="0"/>
        <v>17.779868297271872</v>
      </c>
    </row>
    <row r="31" spans="1:12" x14ac:dyDescent="0.3">
      <c r="A31" s="1">
        <v>134</v>
      </c>
      <c r="B31" s="1" t="s">
        <v>69</v>
      </c>
      <c r="C31" s="1" t="s">
        <v>12</v>
      </c>
      <c r="D31" s="1">
        <v>0.88600000000000001</v>
      </c>
      <c r="E31" s="1">
        <v>0.82</v>
      </c>
      <c r="F31" s="1">
        <v>0.78300000000000003</v>
      </c>
      <c r="G31" s="1">
        <v>0.73399999999999999</v>
      </c>
      <c r="I31" s="8">
        <f t="shared" si="0"/>
        <v>67.12121212121211</v>
      </c>
      <c r="J31" s="8">
        <f t="shared" si="0"/>
        <v>68.106312292358808</v>
      </c>
      <c r="K31" s="8">
        <f t="shared" si="0"/>
        <v>68.986784140969164</v>
      </c>
      <c r="L31" s="8">
        <f t="shared" si="0"/>
        <v>69.049858889934143</v>
      </c>
    </row>
    <row r="32" spans="1:12" x14ac:dyDescent="0.3">
      <c r="A32" s="1">
        <v>139</v>
      </c>
      <c r="B32" s="1" t="s">
        <v>70</v>
      </c>
      <c r="C32" s="1" t="s">
        <v>12</v>
      </c>
      <c r="D32" s="1">
        <v>1.887</v>
      </c>
      <c r="E32" s="1">
        <v>1.746</v>
      </c>
      <c r="F32" s="1">
        <v>1.645</v>
      </c>
      <c r="G32" s="1">
        <v>1.542</v>
      </c>
      <c r="I32" s="8">
        <f t="shared" si="0"/>
        <v>142.95454545454544</v>
      </c>
      <c r="J32" s="8">
        <f t="shared" si="0"/>
        <v>145.01661129568106</v>
      </c>
      <c r="K32" s="8">
        <f t="shared" si="0"/>
        <v>144.9339207048458</v>
      </c>
      <c r="L32" s="8">
        <f t="shared" si="0"/>
        <v>145.06114769520227</v>
      </c>
    </row>
    <row r="33" spans="1:12" x14ac:dyDescent="0.3">
      <c r="A33" s="1">
        <v>144</v>
      </c>
      <c r="B33" s="1" t="s">
        <v>71</v>
      </c>
      <c r="C33" s="1" t="s">
        <v>12</v>
      </c>
      <c r="D33" s="1">
        <v>1.0029999999999999</v>
      </c>
      <c r="E33" s="1">
        <v>0.92700000000000005</v>
      </c>
      <c r="F33" s="1">
        <v>0.88500000000000001</v>
      </c>
      <c r="G33" s="1">
        <v>0.84</v>
      </c>
      <c r="I33" s="8">
        <f t="shared" si="0"/>
        <v>75.98484848484847</v>
      </c>
      <c r="J33" s="8">
        <f t="shared" si="0"/>
        <v>76.993355481727576</v>
      </c>
      <c r="K33" s="8">
        <f t="shared" si="0"/>
        <v>77.973568281938327</v>
      </c>
      <c r="L33" s="8">
        <f t="shared" si="0"/>
        <v>79.021636876763878</v>
      </c>
    </row>
    <row r="34" spans="1:12" x14ac:dyDescent="0.3">
      <c r="A34" s="1">
        <v>149</v>
      </c>
      <c r="B34" s="1" t="s">
        <v>72</v>
      </c>
      <c r="C34" s="1" t="s">
        <v>12</v>
      </c>
      <c r="D34" s="1">
        <v>0.55400000000000005</v>
      </c>
      <c r="E34" s="1">
        <v>0.52</v>
      </c>
      <c r="F34" s="1">
        <v>0.49</v>
      </c>
      <c r="G34" s="1">
        <v>0.46</v>
      </c>
      <c r="I34" s="8">
        <f t="shared" si="0"/>
        <v>41.969696969696976</v>
      </c>
      <c r="J34" s="8">
        <f t="shared" si="0"/>
        <v>43.189368770764126</v>
      </c>
      <c r="K34" s="8">
        <f t="shared" si="0"/>
        <v>43.171806167400881</v>
      </c>
      <c r="L34" s="8">
        <f t="shared" si="0"/>
        <v>43.273753527751651</v>
      </c>
    </row>
    <row r="35" spans="1:12" x14ac:dyDescent="0.3">
      <c r="A35" s="1">
        <v>154</v>
      </c>
      <c r="B35" s="1" t="s">
        <v>73</v>
      </c>
      <c r="C35" s="1" t="s">
        <v>12</v>
      </c>
      <c r="D35" s="1">
        <v>1.4119999999999999</v>
      </c>
      <c r="E35" s="1">
        <v>1.3009999999999999</v>
      </c>
      <c r="F35" s="1">
        <v>1.248</v>
      </c>
      <c r="G35" s="1">
        <v>1.1910000000000001</v>
      </c>
      <c r="I35" s="8">
        <f t="shared" si="0"/>
        <v>106.96969696969695</v>
      </c>
      <c r="J35" s="8">
        <f t="shared" si="0"/>
        <v>108.0564784053156</v>
      </c>
      <c r="K35" s="8">
        <f t="shared" si="0"/>
        <v>109.95594713656386</v>
      </c>
      <c r="L35" s="8">
        <f t="shared" si="0"/>
        <v>112.04139228598309</v>
      </c>
    </row>
    <row r="36" spans="1:12" x14ac:dyDescent="0.3">
      <c r="A36" s="1">
        <v>159</v>
      </c>
      <c r="B36" s="1" t="s">
        <v>74</v>
      </c>
      <c r="C36" s="1" t="s">
        <v>12</v>
      </c>
      <c r="D36" s="1">
        <v>1.0660000000000001</v>
      </c>
      <c r="E36" s="1">
        <v>0.98399999999999999</v>
      </c>
      <c r="F36" s="1">
        <v>0.91800000000000004</v>
      </c>
      <c r="G36" s="1">
        <v>0.85</v>
      </c>
      <c r="I36" s="8">
        <f t="shared" si="0"/>
        <v>80.757575757575765</v>
      </c>
      <c r="J36" s="8">
        <f t="shared" si="0"/>
        <v>81.72757475083057</v>
      </c>
      <c r="K36" s="8">
        <f t="shared" si="0"/>
        <v>80.881057268722472</v>
      </c>
      <c r="L36" s="8">
        <f t="shared" si="0"/>
        <v>79.962370649106305</v>
      </c>
    </row>
    <row r="37" spans="1:12" x14ac:dyDescent="0.3">
      <c r="A37" s="1">
        <v>164</v>
      </c>
      <c r="B37" s="1" t="s">
        <v>75</v>
      </c>
      <c r="C37" s="1" t="s">
        <v>12</v>
      </c>
      <c r="D37" s="1">
        <v>0.77100000000000002</v>
      </c>
      <c r="E37" s="1">
        <v>0.70399999999999996</v>
      </c>
      <c r="F37" s="1">
        <v>0.65</v>
      </c>
      <c r="G37" s="1">
        <v>0.59599999999999997</v>
      </c>
      <c r="I37" s="8">
        <f t="shared" si="0"/>
        <v>58.409090909090914</v>
      </c>
      <c r="J37" s="8">
        <f t="shared" si="0"/>
        <v>58.471760797342185</v>
      </c>
      <c r="K37" s="8">
        <f t="shared" si="0"/>
        <v>57.268722466960355</v>
      </c>
      <c r="L37" s="8">
        <f t="shared" si="0"/>
        <v>56.067732831608652</v>
      </c>
    </row>
    <row r="38" spans="1:12" x14ac:dyDescent="0.3">
      <c r="A38" s="1">
        <v>169</v>
      </c>
      <c r="B38" s="1" t="s">
        <v>76</v>
      </c>
      <c r="C38" s="1" t="s">
        <v>12</v>
      </c>
      <c r="D38" s="1">
        <v>0.997</v>
      </c>
      <c r="E38" s="1">
        <v>0.92400000000000004</v>
      </c>
      <c r="F38" s="1">
        <v>0.86399999999999999</v>
      </c>
      <c r="G38" s="1">
        <v>0.80400000000000005</v>
      </c>
      <c r="I38" s="8">
        <f t="shared" si="0"/>
        <v>75.530303030303031</v>
      </c>
      <c r="J38" s="8">
        <f t="shared" si="0"/>
        <v>76.744186046511629</v>
      </c>
      <c r="K38" s="8">
        <f t="shared" si="0"/>
        <v>76.12334801762114</v>
      </c>
      <c r="L38" s="8">
        <f t="shared" si="0"/>
        <v>75.634995296331141</v>
      </c>
    </row>
    <row r="39" spans="1:12" x14ac:dyDescent="0.3">
      <c r="A39" s="1">
        <v>174</v>
      </c>
      <c r="B39" s="1" t="s">
        <v>77</v>
      </c>
      <c r="C39" s="1" t="s">
        <v>12</v>
      </c>
      <c r="D39" s="1">
        <v>0.79400000000000004</v>
      </c>
      <c r="E39" s="1">
        <v>0.74199999999999999</v>
      </c>
      <c r="F39" s="1">
        <v>0.69599999999999995</v>
      </c>
      <c r="G39" s="1">
        <v>0.64900000000000002</v>
      </c>
      <c r="I39" s="8">
        <f t="shared" si="0"/>
        <v>60.151515151515156</v>
      </c>
      <c r="J39" s="8">
        <f t="shared" si="0"/>
        <v>61.627906976744185</v>
      </c>
      <c r="K39" s="8">
        <f t="shared" si="0"/>
        <v>61.321585903083701</v>
      </c>
      <c r="L39" s="8">
        <f t="shared" si="0"/>
        <v>61.053621825023519</v>
      </c>
    </row>
    <row r="40" spans="1:12" x14ac:dyDescent="0.3">
      <c r="A40" s="1">
        <v>179</v>
      </c>
      <c r="B40" s="1" t="s">
        <v>78</v>
      </c>
      <c r="C40" s="1" t="s">
        <v>12</v>
      </c>
      <c r="D40" s="1">
        <v>3.8159999999999998</v>
      </c>
      <c r="E40" s="1">
        <v>3.5350000000000001</v>
      </c>
      <c r="F40" s="1">
        <v>3.3069999999999999</v>
      </c>
      <c r="G40" s="1">
        <v>3.077</v>
      </c>
      <c r="I40" s="8">
        <f t="shared" si="0"/>
        <v>289.09090909090907</v>
      </c>
      <c r="J40" s="8">
        <f t="shared" si="0"/>
        <v>293.60465116279073</v>
      </c>
      <c r="K40" s="8">
        <f t="shared" si="0"/>
        <v>291.36563876651979</v>
      </c>
      <c r="L40" s="8">
        <f t="shared" si="0"/>
        <v>289.46378174976479</v>
      </c>
    </row>
    <row r="41" spans="1:12" x14ac:dyDescent="0.3">
      <c r="A41" s="1">
        <v>184</v>
      </c>
      <c r="B41" s="1" t="s">
        <v>79</v>
      </c>
      <c r="C41" s="1" t="s">
        <v>12</v>
      </c>
      <c r="D41" s="1">
        <v>1.3080000000000001</v>
      </c>
      <c r="E41" s="1">
        <v>1.224</v>
      </c>
      <c r="F41" s="1">
        <v>1.1619999999999999</v>
      </c>
      <c r="G41" s="1">
        <v>1.0980000000000001</v>
      </c>
      <c r="I41" s="8">
        <f t="shared" si="0"/>
        <v>99.090909090909079</v>
      </c>
      <c r="J41" s="8">
        <f t="shared" si="0"/>
        <v>101.66112956810632</v>
      </c>
      <c r="K41" s="8">
        <f t="shared" si="0"/>
        <v>102.37885462555066</v>
      </c>
      <c r="L41" s="8">
        <f t="shared" si="0"/>
        <v>103.2925682031985</v>
      </c>
    </row>
    <row r="42" spans="1:12" x14ac:dyDescent="0.3">
      <c r="A42" s="1">
        <v>189</v>
      </c>
      <c r="B42" s="1" t="s">
        <v>80</v>
      </c>
      <c r="C42" s="1" t="s">
        <v>12</v>
      </c>
      <c r="D42" s="1">
        <v>0</v>
      </c>
      <c r="E42" s="1">
        <v>0</v>
      </c>
      <c r="F42" s="1">
        <v>0</v>
      </c>
      <c r="G42" s="1">
        <v>0</v>
      </c>
      <c r="I42" s="8">
        <f t="shared" si="0"/>
        <v>0</v>
      </c>
      <c r="J42" s="8">
        <f t="shared" si="0"/>
        <v>0</v>
      </c>
      <c r="K42" s="8">
        <f t="shared" si="0"/>
        <v>0</v>
      </c>
      <c r="L42" s="8">
        <f t="shared" si="0"/>
        <v>0</v>
      </c>
    </row>
    <row r="43" spans="1:12" x14ac:dyDescent="0.3">
      <c r="A43" s="1">
        <v>194</v>
      </c>
      <c r="B43" s="1" t="s">
        <v>81</v>
      </c>
      <c r="C43" s="1" t="s">
        <v>12</v>
      </c>
      <c r="D43" s="1">
        <v>1.8380000000000001</v>
      </c>
      <c r="E43" s="1">
        <v>1.6879999999999999</v>
      </c>
      <c r="F43" s="1">
        <v>1.5669999999999999</v>
      </c>
      <c r="G43" s="1">
        <v>1.446</v>
      </c>
      <c r="I43" s="8">
        <f t="shared" si="0"/>
        <v>139.24242424242422</v>
      </c>
      <c r="J43" s="8">
        <f t="shared" si="0"/>
        <v>140.19933554817277</v>
      </c>
      <c r="K43" s="8">
        <f t="shared" si="0"/>
        <v>138.06167400881057</v>
      </c>
      <c r="L43" s="8">
        <f t="shared" si="0"/>
        <v>136.03010348071496</v>
      </c>
    </row>
    <row r="44" spans="1:12" x14ac:dyDescent="0.3">
      <c r="A44" s="1">
        <v>199</v>
      </c>
      <c r="B44" s="1" t="s">
        <v>82</v>
      </c>
      <c r="C44" s="1" t="s">
        <v>12</v>
      </c>
      <c r="D44" s="1">
        <v>1.7909999999999999</v>
      </c>
      <c r="E44" s="1">
        <v>1.6659999999999999</v>
      </c>
      <c r="F44" s="1">
        <v>1.5589999999999999</v>
      </c>
      <c r="G44" s="1">
        <v>1.452</v>
      </c>
      <c r="I44" s="8">
        <f t="shared" si="0"/>
        <v>135.68181818181816</v>
      </c>
      <c r="J44" s="8">
        <f t="shared" si="0"/>
        <v>138.37209302325581</v>
      </c>
      <c r="K44" s="8">
        <f t="shared" si="0"/>
        <v>137.3568281938326</v>
      </c>
      <c r="L44" s="8">
        <f t="shared" si="0"/>
        <v>136.59454374412041</v>
      </c>
    </row>
    <row r="45" spans="1:12" x14ac:dyDescent="0.3">
      <c r="A45" s="1">
        <v>204</v>
      </c>
      <c r="B45" s="11" t="s">
        <v>83</v>
      </c>
      <c r="C45" s="1" t="s">
        <v>12</v>
      </c>
      <c r="D45" s="1">
        <v>0</v>
      </c>
      <c r="E45" s="1">
        <v>0</v>
      </c>
      <c r="F45" s="1">
        <v>0</v>
      </c>
      <c r="G45" s="1">
        <v>0</v>
      </c>
      <c r="I45" s="8">
        <f t="shared" si="0"/>
        <v>0</v>
      </c>
      <c r="J45" s="8">
        <f t="shared" si="0"/>
        <v>0</v>
      </c>
      <c r="K45" s="8">
        <f t="shared" si="0"/>
        <v>0</v>
      </c>
      <c r="L45" s="8">
        <f t="shared" si="0"/>
        <v>0</v>
      </c>
    </row>
    <row r="46" spans="1:12" x14ac:dyDescent="0.3">
      <c r="A46" s="1">
        <v>100</v>
      </c>
      <c r="B46" s="1" t="s">
        <v>84</v>
      </c>
      <c r="C46" s="1" t="s">
        <v>12</v>
      </c>
      <c r="D46" s="1">
        <v>1.454</v>
      </c>
      <c r="E46" s="1">
        <v>1.3280000000000001</v>
      </c>
      <c r="F46" s="1">
        <v>1.25</v>
      </c>
      <c r="G46" s="1">
        <v>1.169</v>
      </c>
    </row>
    <row r="47" spans="1:12" x14ac:dyDescent="0.3">
      <c r="A47" s="1">
        <v>105</v>
      </c>
      <c r="B47" s="1" t="s">
        <v>85</v>
      </c>
      <c r="C47" s="1" t="s">
        <v>12</v>
      </c>
      <c r="D47" s="1">
        <v>0.72799999999999998</v>
      </c>
      <c r="E47" s="1">
        <v>0.67900000000000005</v>
      </c>
      <c r="F47" s="1">
        <v>0.65900000000000003</v>
      </c>
      <c r="G47" s="1">
        <v>0.61399999999999999</v>
      </c>
    </row>
    <row r="48" spans="1:12" x14ac:dyDescent="0.3">
      <c r="A48" s="1">
        <v>110</v>
      </c>
      <c r="B48" s="1" t="s">
        <v>86</v>
      </c>
      <c r="C48" s="1" t="s">
        <v>12</v>
      </c>
      <c r="D48" s="1">
        <v>0.36899999999999999</v>
      </c>
      <c r="E48" s="1">
        <v>0.34599999999999997</v>
      </c>
      <c r="F48" s="1">
        <v>0.32700000000000001</v>
      </c>
      <c r="G48" s="1">
        <v>0.308</v>
      </c>
    </row>
    <row r="49" spans="1:7" x14ac:dyDescent="0.3">
      <c r="A49" s="1">
        <v>115</v>
      </c>
      <c r="B49" s="1" t="s">
        <v>87</v>
      </c>
      <c r="C49" s="1" t="s">
        <v>12</v>
      </c>
      <c r="D49" s="1">
        <v>1.097</v>
      </c>
      <c r="E49" s="1">
        <v>1.0249999999999999</v>
      </c>
      <c r="F49" s="1">
        <v>0.98599999999999999</v>
      </c>
      <c r="G49" s="1">
        <v>0.92200000000000004</v>
      </c>
    </row>
    <row r="50" spans="1:7" x14ac:dyDescent="0.3">
      <c r="A50" s="1">
        <v>120</v>
      </c>
      <c r="B50" s="1" t="s">
        <v>88</v>
      </c>
      <c r="C50" s="1" t="s">
        <v>12</v>
      </c>
      <c r="D50" s="1">
        <v>1.0309999999999999</v>
      </c>
      <c r="E50" s="1">
        <v>0.95299999999999996</v>
      </c>
      <c r="F50" s="1">
        <v>0.89500000000000002</v>
      </c>
      <c r="G50" s="1">
        <v>0.84599999999999997</v>
      </c>
    </row>
    <row r="51" spans="1:7" x14ac:dyDescent="0.3">
      <c r="A51" s="1">
        <v>125</v>
      </c>
      <c r="B51" s="1" t="s">
        <v>89</v>
      </c>
      <c r="C51" s="1" t="s">
        <v>12</v>
      </c>
      <c r="D51" s="1">
        <v>0.27400000000000002</v>
      </c>
      <c r="E51" s="1">
        <v>0.254</v>
      </c>
      <c r="F51" s="1">
        <v>0.23499999999999999</v>
      </c>
      <c r="G51" s="1">
        <v>0.217</v>
      </c>
    </row>
    <row r="52" spans="1:7" x14ac:dyDescent="0.3">
      <c r="A52" s="1">
        <v>130</v>
      </c>
      <c r="B52" s="1" t="s">
        <v>90</v>
      </c>
      <c r="C52" s="1" t="s">
        <v>12</v>
      </c>
      <c r="D52" s="1">
        <v>0.998</v>
      </c>
      <c r="E52" s="1">
        <v>0.92200000000000004</v>
      </c>
      <c r="F52" s="1">
        <v>0.875</v>
      </c>
      <c r="G52" s="1">
        <v>0.81699999999999995</v>
      </c>
    </row>
    <row r="53" spans="1:7" x14ac:dyDescent="0.3">
      <c r="A53" s="1">
        <v>135</v>
      </c>
      <c r="B53" s="1" t="s">
        <v>91</v>
      </c>
      <c r="C53" s="1" t="s">
        <v>12</v>
      </c>
      <c r="D53" s="1">
        <v>2.1139999999999999</v>
      </c>
      <c r="E53" s="1">
        <v>1.956</v>
      </c>
      <c r="F53" s="1">
        <v>1.8420000000000001</v>
      </c>
      <c r="G53" s="1">
        <v>1.7250000000000001</v>
      </c>
    </row>
    <row r="54" spans="1:7" x14ac:dyDescent="0.3">
      <c r="A54" s="1">
        <v>140</v>
      </c>
      <c r="B54" s="1" t="s">
        <v>92</v>
      </c>
      <c r="C54" s="1" t="s">
        <v>12</v>
      </c>
      <c r="D54" s="1">
        <v>1.1220000000000001</v>
      </c>
      <c r="E54" s="1">
        <v>1.0349999999999999</v>
      </c>
      <c r="F54" s="1">
        <v>0.98199999999999998</v>
      </c>
      <c r="G54" s="1">
        <v>0.92800000000000005</v>
      </c>
    </row>
    <row r="55" spans="1:7" x14ac:dyDescent="0.3">
      <c r="A55" s="1">
        <v>145</v>
      </c>
      <c r="B55" s="1" t="s">
        <v>93</v>
      </c>
      <c r="C55" s="1" t="s">
        <v>12</v>
      </c>
      <c r="D55" s="1">
        <v>0.61199999999999999</v>
      </c>
      <c r="E55" s="1">
        <v>0.57199999999999995</v>
      </c>
      <c r="F55" s="1">
        <v>0.53800000000000003</v>
      </c>
      <c r="G55" s="1">
        <v>0.503</v>
      </c>
    </row>
    <row r="56" spans="1:7" x14ac:dyDescent="0.3">
      <c r="A56" s="1">
        <v>150</v>
      </c>
      <c r="B56" s="1" t="s">
        <v>94</v>
      </c>
      <c r="C56" s="1" t="s">
        <v>12</v>
      </c>
      <c r="D56" s="1">
        <v>1.54</v>
      </c>
      <c r="E56" s="1">
        <v>1.421</v>
      </c>
      <c r="F56" s="1">
        <v>1.363</v>
      </c>
      <c r="G56" s="1">
        <v>1.2989999999999999</v>
      </c>
    </row>
    <row r="57" spans="1:7" x14ac:dyDescent="0.3">
      <c r="A57" s="1">
        <v>155</v>
      </c>
      <c r="B57" s="1" t="s">
        <v>95</v>
      </c>
      <c r="C57" s="1" t="s">
        <v>12</v>
      </c>
      <c r="D57" s="1">
        <v>1.1970000000000001</v>
      </c>
      <c r="E57" s="1">
        <v>1.105</v>
      </c>
      <c r="F57" s="1">
        <v>1.0289999999999999</v>
      </c>
      <c r="G57" s="1">
        <v>0.95399999999999996</v>
      </c>
    </row>
    <row r="58" spans="1:7" x14ac:dyDescent="0.3">
      <c r="A58" s="1">
        <v>160</v>
      </c>
      <c r="B58" s="1" t="s">
        <v>96</v>
      </c>
      <c r="C58" s="1" t="s">
        <v>12</v>
      </c>
      <c r="D58" s="1">
        <v>0.86799999999999999</v>
      </c>
      <c r="E58" s="1">
        <v>0.79600000000000004</v>
      </c>
      <c r="F58" s="1">
        <v>0.73899999999999999</v>
      </c>
      <c r="G58" s="1">
        <v>0.68100000000000005</v>
      </c>
    </row>
    <row r="59" spans="1:7" x14ac:dyDescent="0.3">
      <c r="A59" s="1">
        <v>165</v>
      </c>
      <c r="B59" s="1" t="s">
        <v>97</v>
      </c>
      <c r="C59" s="1" t="s">
        <v>12</v>
      </c>
      <c r="D59" s="1">
        <v>1.153</v>
      </c>
      <c r="E59" s="1">
        <v>1.07</v>
      </c>
      <c r="F59" s="1">
        <v>1</v>
      </c>
      <c r="G59" s="1">
        <v>0.93</v>
      </c>
    </row>
    <row r="60" spans="1:7" x14ac:dyDescent="0.3">
      <c r="A60" s="1">
        <v>170</v>
      </c>
      <c r="B60" s="1" t="s">
        <v>98</v>
      </c>
      <c r="C60" s="1" t="s">
        <v>12</v>
      </c>
      <c r="D60" s="1">
        <v>0.94499999999999995</v>
      </c>
      <c r="E60" s="1">
        <v>0.88100000000000001</v>
      </c>
      <c r="F60" s="1">
        <v>0.82399999999999995</v>
      </c>
      <c r="G60" s="1">
        <v>0.76700000000000002</v>
      </c>
    </row>
    <row r="61" spans="1:7" x14ac:dyDescent="0.3">
      <c r="A61" s="1">
        <v>175</v>
      </c>
      <c r="B61" s="1" t="s">
        <v>99</v>
      </c>
      <c r="C61" s="1" t="s">
        <v>12</v>
      </c>
      <c r="D61" s="1">
        <v>4.2359999999999998</v>
      </c>
      <c r="E61" s="1">
        <v>3.92</v>
      </c>
      <c r="F61" s="1">
        <v>3.6619999999999999</v>
      </c>
      <c r="G61" s="1">
        <v>3.4020000000000001</v>
      </c>
    </row>
    <row r="62" spans="1:7" x14ac:dyDescent="0.3">
      <c r="A62" s="1">
        <v>180</v>
      </c>
      <c r="B62" s="1" t="s">
        <v>100</v>
      </c>
      <c r="C62" s="1" t="s">
        <v>12</v>
      </c>
      <c r="D62" s="1">
        <v>1.413</v>
      </c>
      <c r="E62" s="1">
        <v>1.321</v>
      </c>
      <c r="F62" s="1">
        <v>1.252</v>
      </c>
      <c r="G62" s="1">
        <v>1.1819999999999999</v>
      </c>
    </row>
    <row r="63" spans="1:7" x14ac:dyDescent="0.3">
      <c r="A63" s="1">
        <v>185</v>
      </c>
      <c r="B63" s="1" t="s">
        <v>101</v>
      </c>
      <c r="C63" s="1" t="s">
        <v>12</v>
      </c>
      <c r="D63" s="1">
        <v>2.3439999999999999</v>
      </c>
      <c r="E63" s="1">
        <v>2.1669999999999998</v>
      </c>
      <c r="F63" s="1">
        <v>2.008</v>
      </c>
      <c r="G63" s="1">
        <v>1.849</v>
      </c>
    </row>
    <row r="64" spans="1:7" x14ac:dyDescent="0.3">
      <c r="A64" s="1">
        <v>190</v>
      </c>
      <c r="B64" s="1" t="s">
        <v>102</v>
      </c>
      <c r="C64" s="1" t="s">
        <v>12</v>
      </c>
      <c r="D64" s="1">
        <v>2.0710000000000002</v>
      </c>
      <c r="E64" s="1">
        <v>1.9059999999999999</v>
      </c>
      <c r="F64" s="1">
        <v>1.772</v>
      </c>
      <c r="G64" s="1">
        <v>1.6379999999999999</v>
      </c>
    </row>
    <row r="65" spans="1:7" x14ac:dyDescent="0.3">
      <c r="A65" s="1">
        <v>195</v>
      </c>
      <c r="B65" s="1" t="s">
        <v>103</v>
      </c>
      <c r="C65" s="1" t="s">
        <v>12</v>
      </c>
      <c r="D65" s="1">
        <v>2.1080000000000001</v>
      </c>
      <c r="E65" s="1">
        <v>1.964</v>
      </c>
      <c r="F65" s="1">
        <v>1.84</v>
      </c>
      <c r="G65" s="1">
        <v>1.7150000000000001</v>
      </c>
    </row>
    <row r="66" spans="1:7" x14ac:dyDescent="0.3">
      <c r="A66" s="1">
        <v>200</v>
      </c>
      <c r="B66" s="1" t="s">
        <v>104</v>
      </c>
      <c r="C66" s="1" t="s">
        <v>12</v>
      </c>
      <c r="D66" s="1">
        <v>1.2110000000000001</v>
      </c>
      <c r="E66" s="1">
        <v>1.1259999999999999</v>
      </c>
      <c r="F66" s="1">
        <v>1.0640000000000001</v>
      </c>
      <c r="G66" s="1">
        <v>1</v>
      </c>
    </row>
    <row r="67" spans="1:7" x14ac:dyDescent="0.3">
      <c r="A67" s="1">
        <v>650</v>
      </c>
      <c r="B67" s="1" t="s">
        <v>105</v>
      </c>
      <c r="C67" s="1" t="s">
        <v>62</v>
      </c>
      <c r="D67" s="1">
        <v>1075</v>
      </c>
      <c r="E67" s="1">
        <v>1000</v>
      </c>
      <c r="F67" s="1">
        <v>925</v>
      </c>
      <c r="G67" s="1">
        <v>850</v>
      </c>
    </row>
    <row r="68" spans="1:7" x14ac:dyDescent="0.3">
      <c r="A68" s="1">
        <v>651</v>
      </c>
      <c r="B68" s="1" t="s">
        <v>106</v>
      </c>
      <c r="C68" s="1" t="s">
        <v>62</v>
      </c>
      <c r="D68" s="1">
        <v>0</v>
      </c>
      <c r="E68" s="1">
        <v>0</v>
      </c>
      <c r="F68" s="1">
        <v>0</v>
      </c>
      <c r="G68" s="1">
        <v>0</v>
      </c>
    </row>
  </sheetData>
  <mergeCells count="1">
    <mergeCell ref="I25:L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Nutritional Matrix</vt:lpstr>
      <vt:lpstr>Formulas</vt:lpstr>
      <vt:lpstr>Nutrient Specs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Silva</dc:creator>
  <cp:lastModifiedBy>Marcelo Silva</cp:lastModifiedBy>
  <dcterms:created xsi:type="dcterms:W3CDTF">2026-04-15T18:42:46Z</dcterms:created>
  <dcterms:modified xsi:type="dcterms:W3CDTF">2026-04-15T18:56:54Z</dcterms:modified>
</cp:coreProperties>
</file>